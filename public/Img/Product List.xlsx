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760" tabRatio="602"/>
  </bookViews>
  <sheets>
    <sheet name="PROVISION - BOND STORE" sheetId="6" r:id="rId1"/>
    <sheet name="BOND STORE" sheetId="7" state="hidden" r:id="rId2"/>
    <sheet name=" Store" sheetId="3" state="hidden" r:id="rId3"/>
  </sheets>
  <definedNames>
    <definedName name="_xlnm._FilterDatabase" localSheetId="0" hidden="1">'PROVISION - BOND STORE'!$A$11:$G$121</definedName>
    <definedName name="_xlnm.Print_Area" localSheetId="0">'PROVISION - BOND STORE'!$A$1:$G$121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6"/>
  <c r="G109"/>
  <c r="G422"/>
  <c r="G35"/>
  <c r="G17"/>
  <c r="G472"/>
  <c r="G473"/>
  <c r="G474"/>
  <c r="G475"/>
  <c r="G476"/>
  <c r="G477"/>
  <c r="G478"/>
  <c r="G479"/>
  <c r="G480"/>
  <c r="G481"/>
  <c r="G482"/>
  <c r="G483"/>
  <c r="G484"/>
  <c r="G485"/>
  <c r="G184"/>
  <c r="G36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121"/>
  <c r="G27"/>
  <c r="G89" i="7"/>
  <c r="G120" i="6"/>
  <c r="G18"/>
  <c r="G81" i="7"/>
  <c r="G80"/>
  <c r="G21"/>
  <c r="G76"/>
  <c r="G88"/>
  <c r="G87"/>
  <c r="G86"/>
  <c r="G85"/>
  <c r="G84"/>
  <c r="G83"/>
  <c r="G82"/>
  <c r="G79"/>
  <c r="G78"/>
  <c r="G77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0"/>
  <c r="G19"/>
  <c r="G18"/>
  <c r="G17"/>
  <c r="G16"/>
  <c r="G15"/>
  <c r="G14"/>
  <c r="G13"/>
  <c r="G12"/>
  <c r="G90" s="1"/>
  <c r="E11" i="3" l="1"/>
  <c r="E12"/>
  <c r="E13"/>
  <c r="E14"/>
  <c r="E15"/>
  <c r="E16"/>
  <c r="E17"/>
  <c r="E18"/>
  <c r="E19"/>
  <c r="E20"/>
  <c r="E21"/>
  <c r="G13" i="6"/>
  <c r="G14"/>
  <c r="G15"/>
  <c r="G16"/>
  <c r="G19"/>
  <c r="G20"/>
  <c r="G21"/>
  <c r="G22"/>
  <c r="G23"/>
  <c r="G24"/>
  <c r="G25"/>
  <c r="G26"/>
  <c r="G28"/>
  <c r="G29"/>
  <c r="G30"/>
  <c r="G31"/>
  <c r="G32"/>
  <c r="G33"/>
  <c r="G34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10"/>
  <c r="G111"/>
  <c r="G112"/>
  <c r="G113"/>
  <c r="G114"/>
  <c r="G115"/>
  <c r="G116"/>
  <c r="G117"/>
  <c r="G118"/>
  <c r="G119"/>
  <c r="E10" i="3" l="1"/>
  <c r="E24" l="1"/>
</calcChain>
</file>

<file path=xl/sharedStrings.xml><?xml version="1.0" encoding="utf-8"?>
<sst xmlns="http://schemas.openxmlformats.org/spreadsheetml/2006/main" count="1710" uniqueCount="655">
  <si>
    <t>QTY</t>
  </si>
  <si>
    <t>UNIT PRICE</t>
  </si>
  <si>
    <t xml:space="preserve">DRINKING WATER </t>
  </si>
  <si>
    <t xml:space="preserve">QUOTATION </t>
  </si>
  <si>
    <t>TOTAL</t>
  </si>
  <si>
    <t>S/N</t>
  </si>
  <si>
    <t>DESCRIPTION</t>
  </si>
  <si>
    <t>AMOUNT</t>
  </si>
  <si>
    <t>Napkins (500 pecs pack)</t>
  </si>
  <si>
    <t>Dishwashing Liquid 1 Lt</t>
  </si>
  <si>
    <t>Dishwashing machine tablets</t>
  </si>
  <si>
    <t>Strong Plastic bags (33Gallon) 100 pec pack</t>
  </si>
  <si>
    <t xml:space="preserve">Toilet Paper  per roll </t>
  </si>
  <si>
    <t>Subtotal</t>
  </si>
  <si>
    <t>Tax</t>
  </si>
  <si>
    <t xml:space="preserve">Thank  you </t>
  </si>
  <si>
    <t>Total</t>
  </si>
  <si>
    <t>Floor Cleaner lt</t>
  </si>
  <si>
    <t>BTL</t>
  </si>
  <si>
    <t xml:space="preserve">No. </t>
  </si>
  <si>
    <t>QUOTATION</t>
  </si>
  <si>
    <t>…..</t>
  </si>
  <si>
    <t>JAR</t>
  </si>
  <si>
    <t>CATEGORY</t>
  </si>
  <si>
    <t>PRODUCTS</t>
  </si>
  <si>
    <t xml:space="preserve">Aluminion foil x 500 </t>
  </si>
  <si>
    <t>SHIP CHANDLER</t>
  </si>
  <si>
    <t xml:space="preserve">THANK YOU. </t>
  </si>
  <si>
    <t>Plastic food Wrap (2000 ft)</t>
  </si>
  <si>
    <t>CIGARRETE</t>
  </si>
  <si>
    <t>MARLBORO RED &amp; GOLD</t>
  </si>
  <si>
    <t>1.5 LT BTL 12 PACKS</t>
  </si>
  <si>
    <t>SPERKLING  WATER</t>
  </si>
  <si>
    <t>WHISKY</t>
  </si>
  <si>
    <t>GRANT'S 750 ML</t>
  </si>
  <si>
    <t>BEER</t>
  </si>
  <si>
    <t>LOCAL BRAND ICE 350 ML CAN 24 PCS BOX</t>
  </si>
  <si>
    <t>LOCAL BRAND GALLO 350 ML CAN 24 PCS BOX</t>
  </si>
  <si>
    <t>HINEKEN 350ml bottle 24 PCS CASE</t>
  </si>
  <si>
    <t>MONTA CARLO 350ml bottle 24 PCS CASE</t>
  </si>
  <si>
    <t>WINE</t>
  </si>
  <si>
    <t>1 LT PACK RED WINE</t>
  </si>
  <si>
    <t xml:space="preserve">750 ML BOTTLE WHITE </t>
  </si>
  <si>
    <t>750 ML BOTTLE RED(GATO NEGRO BRAND)</t>
  </si>
  <si>
    <t>PEANUTS</t>
  </si>
  <si>
    <t>CHOCOLATE</t>
  </si>
  <si>
    <t>SOFT DRINKS</t>
  </si>
  <si>
    <t xml:space="preserve">TOUTHPASTE </t>
  </si>
  <si>
    <t>VAT 69 750 ML</t>
  </si>
  <si>
    <t>LAYS CHEAPS PERSONAL 40GM PACK</t>
  </si>
  <si>
    <t>POP CORN MICROWACE</t>
  </si>
  <si>
    <t>PEANUTS WITH CHOCOLATE 70GM PACK</t>
  </si>
  <si>
    <t>CASHEW NUTS ROASTED SALTED 70GM PACK</t>
  </si>
  <si>
    <t>PISTACHIO ROASTED SALTED 70GM PACK</t>
  </si>
  <si>
    <t xml:space="preserve">COLGATE 100ML </t>
  </si>
  <si>
    <t>Strong Plastic bags (55Gallon) 50 pec pack</t>
  </si>
  <si>
    <t>M&amp;M NUTS 100 GM</t>
  </si>
  <si>
    <t>Washing detergent power per kg</t>
  </si>
  <si>
    <t xml:space="preserve">PALLMALL </t>
  </si>
  <si>
    <t xml:space="preserve">M&amp;M MILK CHOCOLATE 150 GM </t>
  </si>
  <si>
    <t xml:space="preserve">CHOCALATE INTERNATIONAL BRAND 1.2 KG PACK (HERSLEY &amp; OTHER INTERNATIONAL BRAND MIX </t>
  </si>
  <si>
    <t>CASE</t>
  </si>
  <si>
    <t>PRINGALS 118GM BOX</t>
  </si>
  <si>
    <t>RON</t>
  </si>
  <si>
    <t>BACARDI ORO SUPERIOR 750ML</t>
  </si>
  <si>
    <t xml:space="preserve">BACARDI 12 YEARS 1 LT </t>
  </si>
  <si>
    <t>Botran XL Limón y Pepino 1750 ml</t>
  </si>
  <si>
    <t>Colonial Ron Reserva Especial 700 ml</t>
  </si>
  <si>
    <t>ZACAPA RON 23 YEARS</t>
  </si>
  <si>
    <t>JOHNY WALKER RED LEVEL 750 ML</t>
  </si>
  <si>
    <t>JOHNY WALKER BLACK LEVEL 750 ML</t>
  </si>
  <si>
    <t>OLD PAIR GOLD</t>
  </si>
  <si>
    <t>Glenfiddich SingleMalt Whisky 750ml </t>
  </si>
  <si>
    <t>VODKA</t>
  </si>
  <si>
    <t>Absolut Vodka 1 lt</t>
  </si>
  <si>
    <t>Grey Goose Vodka 1 lt</t>
  </si>
  <si>
    <t>RON XL EXTRA LIGHT BTL/750ML</t>
  </si>
  <si>
    <t>RON BOTRAN 12 YEARS BTL/750ML</t>
  </si>
  <si>
    <t>RON BOTRAN 8 YEARS BTL/750ML</t>
  </si>
  <si>
    <t>RON BOTRAN 5 YEARS BTL/750ML</t>
  </si>
  <si>
    <t>WHISKY WILLIAMS LAWSON  BTL/750ML</t>
  </si>
  <si>
    <t>WHISKY CHANCELER  BTL/1 LTR</t>
  </si>
  <si>
    <t xml:space="preserve">WHISKY CROWLEYS  BTL/700ML </t>
  </si>
  <si>
    <t>VODKA SIROV  BTL/750ML</t>
  </si>
  <si>
    <t>VODKA SMIRNOFF BTL/750ML</t>
  </si>
  <si>
    <t>VODKA FINLANDIA BTL/759ML</t>
  </si>
  <si>
    <t>VODKA SKY BTL/750ML</t>
  </si>
  <si>
    <t xml:space="preserve"> JOSE CUERVO REPOSADO BTL/750ML</t>
  </si>
  <si>
    <t>TEQUILA</t>
  </si>
  <si>
    <t xml:space="preserve"> JOSE CUERVO  SILVER  BTL/750ML</t>
  </si>
  <si>
    <t>SCOTTLAND WHISKEY JAMESON BTL/750ML</t>
  </si>
  <si>
    <t>BACARDI BLANCO 750ML</t>
  </si>
  <si>
    <t>BACARDI BLANCO 1750ML</t>
  </si>
  <si>
    <t>BACARDI ORO SUPERIOR 1750ML</t>
  </si>
  <si>
    <t>CHOCO LOVER BRAND 100GRM</t>
  </si>
  <si>
    <t>SNICKERS 50 GRM BAR</t>
  </si>
  <si>
    <t>TWIX, MILKY WAY, SNICKERS MIX 30 PCS 49GRM BAR PKT</t>
  </si>
  <si>
    <t>Gatorade Sports Drink 24 Units/600 ml BTL</t>
  </si>
  <si>
    <t>BUSCH LIGHT  CS 24 TINS</t>
  </si>
  <si>
    <t>DORITOS 150GM PACK</t>
  </si>
  <si>
    <t>SHAMPO HEAD&amp;SHOULDER MEN (375ML BTL)</t>
  </si>
  <si>
    <t>LOCAL BRAND BRAVA 454 ML CAN 24 PCS BOX</t>
  </si>
  <si>
    <t>Rags per kg (used cloth tshirt only)</t>
  </si>
  <si>
    <t>2 LT BTL 6BTL PACK</t>
  </si>
  <si>
    <t>GUATEMALA  ALL PORT</t>
  </si>
  <si>
    <t>presently not production</t>
  </si>
  <si>
    <t>L&amp;M BLUE</t>
  </si>
  <si>
    <t>.630 ML 20 PCS PACK</t>
  </si>
  <si>
    <t>UNIT</t>
  </si>
  <si>
    <t>REAMS</t>
  </si>
  <si>
    <t>PKT</t>
  </si>
  <si>
    <t>CHIPS</t>
  </si>
  <si>
    <t>TUBE</t>
  </si>
  <si>
    <t>"THIS" BRAND RED &amp; BLUE (COUTURE)</t>
  </si>
  <si>
    <t>500 ML 40 BTL PACK</t>
  </si>
  <si>
    <t>3.03 LT 6BTL CASE</t>
  </si>
  <si>
    <t>BALLENTAIN 1LT</t>
  </si>
  <si>
    <t xml:space="preserve"> JOSE CUERVO REPOSADO BTL/ 1 LT BTL</t>
  </si>
  <si>
    <t xml:space="preserve">1LT RED MAPIO CHILIAN BRAND </t>
  </si>
  <si>
    <t>CEZKA 350 ML CAN 24 PCS BOX</t>
  </si>
  <si>
    <t>LAYS CRIPS PLAIN SALTED 110GM PACK</t>
  </si>
  <si>
    <t>LAYS CRIPS CHEESE &amp; ONION 110GM PACK</t>
  </si>
  <si>
    <t>PEANUTS ROASTED SALTED 454GM JAR</t>
  </si>
  <si>
    <t>CHOCO LOVER BRAND 180GRM</t>
  </si>
  <si>
    <t>LAYS CRIPS PLAIN AND CHEESE190GM PACK</t>
  </si>
  <si>
    <t xml:space="preserve">COCA COLA, SPRITE, FANTA (350ML X 24 CAN) </t>
  </si>
  <si>
    <t xml:space="preserve">PEPSI, 7-UP, FANTA  (350ML X 24 CAN) </t>
  </si>
  <si>
    <t xml:space="preserve">LOCAL SOFT DRINK (350ML X 24 CAN) </t>
  </si>
  <si>
    <t xml:space="preserve">BTL </t>
  </si>
  <si>
    <t>NUTS</t>
  </si>
  <si>
    <t>POPCORN</t>
  </si>
  <si>
    <t>SHAMPO</t>
  </si>
  <si>
    <t>1 LT BTL 12 BTL PACKS</t>
  </si>
  <si>
    <t>PRINGALS 40GM BOX</t>
  </si>
  <si>
    <r>
      <t xml:space="preserve"> </t>
    </r>
    <r>
      <rPr>
        <sz val="11"/>
        <color rgb="FF2EDD05"/>
        <rFont val="Times New Roman"/>
        <family val="1"/>
      </rPr>
      <t xml:space="preserve"> </t>
    </r>
    <r>
      <rPr>
        <b/>
        <sz val="11"/>
        <color rgb="FF2EDD05"/>
        <rFont val="Times New Roman"/>
        <family val="1"/>
      </rPr>
      <t xml:space="preserve">                                  </t>
    </r>
    <r>
      <rPr>
        <sz val="11"/>
        <color theme="1"/>
        <rFont val="Times New Roman"/>
        <family val="1"/>
      </rPr>
      <t xml:space="preserve">
</t>
    </r>
  </si>
  <si>
    <t>WC Clener 750ML</t>
  </si>
  <si>
    <t xml:space="preserve">VESSEL NAME :       MASTER NAME: </t>
  </si>
  <si>
    <t xml:space="preserve">VESSEL NAME :    MASTER NAME: </t>
  </si>
  <si>
    <t>Phone:  +502 4919-1164 / +502 5371-8796</t>
  </si>
  <si>
    <t>"Supplying the Caribbean One Vessel at a Time"</t>
  </si>
  <si>
    <t>Store</t>
  </si>
  <si>
    <t>supply@caribbeanps.com.gt // m.burgos@caribbeanps.com.gt</t>
  </si>
  <si>
    <r>
      <rPr>
        <sz val="10"/>
        <color theme="1"/>
        <rFont val="Times New Roman"/>
        <family val="1"/>
      </rPr>
      <t xml:space="preserve">
</t>
    </r>
    <r>
      <rPr>
        <sz val="16"/>
        <color rgb="FFFF0000"/>
        <rFont val="Times New Roman"/>
        <family val="1"/>
      </rPr>
      <t>SHIP CHANDLER</t>
    </r>
    <r>
      <rPr>
        <sz val="10"/>
        <color theme="1"/>
        <rFont val="Times New Roman"/>
        <family val="1"/>
      </rPr>
      <t xml:space="preserve">
GUATEMALA  ALL PORT
</t>
    </r>
    <r>
      <rPr>
        <b/>
        <sz val="10"/>
        <color theme="1"/>
        <rFont val="Bell MT"/>
        <family val="1"/>
      </rPr>
      <t xml:space="preserve"> </t>
    </r>
    <r>
      <rPr>
        <sz val="10"/>
        <color theme="1"/>
        <rFont val="Calibri"/>
        <family val="2"/>
        <scheme val="minor"/>
      </rPr>
      <t xml:space="preserve">
</t>
    </r>
  </si>
  <si>
    <t xml:space="preserve">Cooking oil vegetable </t>
  </si>
  <si>
    <t>Coconut oil</t>
  </si>
  <si>
    <t xml:space="preserve">Corn starch 350 grm </t>
  </si>
  <si>
    <t>Jasmin thai rice</t>
  </si>
  <si>
    <t>Chicken breast boneless(fillet)</t>
  </si>
  <si>
    <t xml:space="preserve">Duck whole ovenready </t>
  </si>
  <si>
    <t>Brown sugar granulated</t>
  </si>
  <si>
    <t>Sugar white granulated</t>
  </si>
  <si>
    <t>Gatorade sports drink 24 units/600 ml btl</t>
  </si>
  <si>
    <t xml:space="preserve">Coca cola, sprite, fanta (350ml x 24 can) </t>
  </si>
  <si>
    <t xml:space="preserve">Pepsi, 7-up, fanta  (350ml x 24 can) </t>
  </si>
  <si>
    <t xml:space="preserve">Local soft drink (350ml x 24 can) </t>
  </si>
  <si>
    <t>Coffee grounded 454 grm pkt</t>
  </si>
  <si>
    <t xml:space="preserve">Coffe mate 500 grm </t>
  </si>
  <si>
    <t>Instant cofee nescafe 200 gr</t>
  </si>
  <si>
    <t>Cafetalito dark  coffee 350 grm</t>
  </si>
  <si>
    <t>Nescafe gold 100 grm</t>
  </si>
  <si>
    <t>Chili con  meat</t>
  </si>
  <si>
    <t>Cocktail saussages</t>
  </si>
  <si>
    <t>Frankfurter sausages</t>
  </si>
  <si>
    <t>Liver paste</t>
  </si>
  <si>
    <t>Sausages with beans</t>
  </si>
  <si>
    <t>Spam 340 grm</t>
  </si>
  <si>
    <t>Pork bellies boneless</t>
  </si>
  <si>
    <t>Pork belly bone in , skin-on</t>
  </si>
  <si>
    <t>Pork chops</t>
  </si>
  <si>
    <t>Pork ears</t>
  </si>
  <si>
    <t>Pork fillet boneless</t>
  </si>
  <si>
    <t>Pork hocks (shanks)</t>
  </si>
  <si>
    <t>Pork knuckle</t>
  </si>
  <si>
    <t>Pork leg boneless</t>
  </si>
  <si>
    <t>Pork legs bone in</t>
  </si>
  <si>
    <t>Pork loins bone in</t>
  </si>
  <si>
    <t>Pork loins boneless</t>
  </si>
  <si>
    <t>Pork minced</t>
  </si>
  <si>
    <t>Pork neck boneless</t>
  </si>
  <si>
    <t>Pork shoulder boneless</t>
  </si>
  <si>
    <t>Pork spare ribs</t>
  </si>
  <si>
    <t>Pork spareribs</t>
  </si>
  <si>
    <t>Pork hock chopped</t>
  </si>
  <si>
    <t>Pork shank</t>
  </si>
  <si>
    <t>Pork tenderloin</t>
  </si>
  <si>
    <t>Pork loin chops bone out, sliced</t>
  </si>
  <si>
    <t>Alpen muesli 375 gr</t>
  </si>
  <si>
    <t>Fruit and fibre 375 gr</t>
  </si>
  <si>
    <t xml:space="preserve">Raisin brain </t>
  </si>
  <si>
    <t xml:space="preserve">Cereal fruits and nuts </t>
  </si>
  <si>
    <t>Corn flakes chocolate</t>
  </si>
  <si>
    <t>Kellogs cornflakes</t>
  </si>
  <si>
    <t xml:space="preserve">Sugar flosted flake </t>
  </si>
  <si>
    <t>Oats 5oogr</t>
  </si>
  <si>
    <t>Semolina maizina</t>
  </si>
  <si>
    <t>Special k</t>
  </si>
  <si>
    <t>Local brand ice 350 ml can 24 pcs box</t>
  </si>
  <si>
    <t>Local brand brava 454 ml can 24 pcs box</t>
  </si>
  <si>
    <t>Busch light  cs 24 tins</t>
  </si>
  <si>
    <t>Local brand gallo 350 ml can 24 pcs box</t>
  </si>
  <si>
    <t>Hineken 350ml bottle 24 pcs case</t>
  </si>
  <si>
    <t>Monta carlo 350ml bottle 24 pcs case</t>
  </si>
  <si>
    <t xml:space="preserve">Assorted chocolates </t>
  </si>
  <si>
    <t>Chocolate local</t>
  </si>
  <si>
    <t>Chocolate topping liquid</t>
  </si>
  <si>
    <t>Cooking dark chocolate bar</t>
  </si>
  <si>
    <t>Nutella</t>
  </si>
  <si>
    <t xml:space="preserve">M&amp;m milk chocolate 150 gm </t>
  </si>
  <si>
    <t>M&amp;m nuts 100 gm</t>
  </si>
  <si>
    <t>Marlboro red &amp; gold</t>
  </si>
  <si>
    <t>Coconut fresh</t>
  </si>
  <si>
    <t>Coconut grounded</t>
  </si>
  <si>
    <t>Cream coconut 400ml</t>
  </si>
  <si>
    <t>Bacon smoked streaky sliced</t>
  </si>
  <si>
    <t>Mortadella</t>
  </si>
  <si>
    <t>Sausage chicken</t>
  </si>
  <si>
    <t>Sausage chorizo</t>
  </si>
  <si>
    <t>Sausage longaniza</t>
  </si>
  <si>
    <t>Salami</t>
  </si>
  <si>
    <t>Powder chicken 450gr</t>
  </si>
  <si>
    <t>Chili pepper grounded</t>
  </si>
  <si>
    <t>Cloves ground</t>
  </si>
  <si>
    <t>Cloves wholes</t>
  </si>
  <si>
    <t>Cumin powder</t>
  </si>
  <si>
    <t>Curry powder</t>
  </si>
  <si>
    <t>Pepper black grounded</t>
  </si>
  <si>
    <t>Pepper black whole</t>
  </si>
  <si>
    <t>Pepper cayenne grounded</t>
  </si>
  <si>
    <t>Seasonal salt</t>
  </si>
  <si>
    <t xml:space="preserve">Instant noddles chicken(individual) </t>
  </si>
  <si>
    <t xml:space="preserve">Instant noddles schrimps(individual) </t>
  </si>
  <si>
    <t>Rice noddles (450 gm pkt)</t>
  </si>
  <si>
    <t xml:space="preserve">Noodles sotanghon </t>
  </si>
  <si>
    <t>Cherries</t>
  </si>
  <si>
    <t>Fruit cocktail 800 gr.</t>
  </si>
  <si>
    <t>Pineapple slice 800 gr</t>
  </si>
  <si>
    <t>Peaches 820 gr</t>
  </si>
  <si>
    <t xml:space="preserve">Pineapples cutted 430 grm </t>
  </si>
  <si>
    <t>Apple green/red</t>
  </si>
  <si>
    <t>Bananas half ripe -green</t>
  </si>
  <si>
    <t>Bananas ripe</t>
  </si>
  <si>
    <t xml:space="preserve">Grapes green or red </t>
  </si>
  <si>
    <t>Grape red- seedles</t>
  </si>
  <si>
    <t>Kiwi</t>
  </si>
  <si>
    <t>Lemons</t>
  </si>
  <si>
    <t>Lime</t>
  </si>
  <si>
    <t xml:space="preserve">Mandarina </t>
  </si>
  <si>
    <t xml:space="preserve">Mango </t>
  </si>
  <si>
    <t>Oranges sweet  (local)</t>
  </si>
  <si>
    <t>Melons honey dew</t>
  </si>
  <si>
    <t xml:space="preserve">Pears </t>
  </si>
  <si>
    <t xml:space="preserve">Pineapple </t>
  </si>
  <si>
    <t xml:space="preserve">Water melons </t>
  </si>
  <si>
    <t xml:space="preserve">Peach  </t>
  </si>
  <si>
    <t>Papaya</t>
  </si>
  <si>
    <t xml:space="preserve">Plum </t>
  </si>
  <si>
    <t>Strawberry</t>
  </si>
  <si>
    <t>Raisin dry</t>
  </si>
  <si>
    <t>Almonds flaked 907 grm pkt</t>
  </si>
  <si>
    <t>Whole almonds</t>
  </si>
  <si>
    <t xml:space="preserve">Assorted biscuits </t>
  </si>
  <si>
    <t>Butter short bread 454 grm</t>
  </si>
  <si>
    <t>Cookies biscuits</t>
  </si>
  <si>
    <t>Digestive biscuits 176 gr</t>
  </si>
  <si>
    <t xml:space="preserve">Danish butter cookies 454 grm </t>
  </si>
  <si>
    <t>Oreo cookies 432 grm pkt</t>
  </si>
  <si>
    <t>Oreo cookies 108 grm pkt</t>
  </si>
  <si>
    <t>Sky flakes crackers 1.05 kg</t>
  </si>
  <si>
    <t>Wheat flour (50kg pac)</t>
  </si>
  <si>
    <t>White flour (1 kg pac)</t>
  </si>
  <si>
    <t xml:space="preserve">Basil dry 113 grm </t>
  </si>
  <si>
    <t>Bayleaves</t>
  </si>
  <si>
    <t>Coriander leaves</t>
  </si>
  <si>
    <t>Cumin seeds ground</t>
  </si>
  <si>
    <t>Lemon grass fresh</t>
  </si>
  <si>
    <t>Mint leaves</t>
  </si>
  <si>
    <t xml:space="preserve">Oregano grounded 118 grm </t>
  </si>
  <si>
    <t>Rosemary dry</t>
  </si>
  <si>
    <t>Thyme dry</t>
  </si>
  <si>
    <t>Tamrinda paste</t>
  </si>
  <si>
    <t xml:space="preserve">Ice tea powder juice 30 grm </t>
  </si>
  <si>
    <t>Maple sirup</t>
  </si>
  <si>
    <t xml:space="preserve">Peanut butter 500 grm </t>
  </si>
  <si>
    <t>Tang mango juice powder (mini)</t>
  </si>
  <si>
    <t>Tang orange juice powder (mini)</t>
  </si>
  <si>
    <t>Tang peach juice powder (mini)</t>
  </si>
  <si>
    <t>Syrup corn white  (mini)</t>
  </si>
  <si>
    <t>Apple juice</t>
  </si>
  <si>
    <t>Guayaba juice</t>
  </si>
  <si>
    <t>Grape red</t>
  </si>
  <si>
    <t>Apricot juice</t>
  </si>
  <si>
    <t>Grape juice</t>
  </si>
  <si>
    <t>Mango juice</t>
  </si>
  <si>
    <t>Orange juice</t>
  </si>
  <si>
    <t>Pinneaple juice</t>
  </si>
  <si>
    <t>Tomato juice</t>
  </si>
  <si>
    <t>Coffee creamer 500 grm</t>
  </si>
  <si>
    <t>Condensed milk</t>
  </si>
  <si>
    <t xml:space="preserve">Evaporated milk </t>
  </si>
  <si>
    <t>Milk long life 0%</t>
  </si>
  <si>
    <t>Milk long life uht 1.5 % fat</t>
  </si>
  <si>
    <t>Milk long life almond flavor</t>
  </si>
  <si>
    <t>Milk long life soya flavor</t>
  </si>
  <si>
    <t xml:space="preserve">Milkpowder </t>
  </si>
  <si>
    <t xml:space="preserve">Sour cream </t>
  </si>
  <si>
    <t>Topping cream aerosol 400ml</t>
  </si>
  <si>
    <t xml:space="preserve">Whiping cream 375ml btl </t>
  </si>
  <si>
    <t xml:space="preserve">Bakiing soda 454 grm </t>
  </si>
  <si>
    <t>Yeast dry 500 grm</t>
  </si>
  <si>
    <t>Butter half salted 227 gm pack</t>
  </si>
  <si>
    <t>Butter salted 227 gm pkt</t>
  </si>
  <si>
    <t>Butter unsalted (227 gm pack)</t>
  </si>
  <si>
    <t>Crab fresh local</t>
  </si>
  <si>
    <t>Lobster</t>
  </si>
  <si>
    <t xml:space="preserve">Seafood </t>
  </si>
  <si>
    <t>Chicken gizzard</t>
  </si>
  <si>
    <t>Chicken liver</t>
  </si>
  <si>
    <t>Apricont jam 450 grr</t>
  </si>
  <si>
    <t>Jam assorted flavour 450gr</t>
  </si>
  <si>
    <t xml:space="preserve">Blueberry jam 340 frm </t>
  </si>
  <si>
    <t>Fig preserve jam 290 grm</t>
  </si>
  <si>
    <t xml:space="preserve">Maraschino cherry 340 grm </t>
  </si>
  <si>
    <t>Orange jam 450 gr</t>
  </si>
  <si>
    <t xml:space="preserve">Pineapple jam 400 grm </t>
  </si>
  <si>
    <t xml:space="preserve">Raspberry jam 340 grm </t>
  </si>
  <si>
    <t>Strawberry jam 340 grm</t>
  </si>
  <si>
    <t>Honey 350 gr</t>
  </si>
  <si>
    <t>French mustard cooking 250ml</t>
  </si>
  <si>
    <t>Bread crumbs panko</t>
  </si>
  <si>
    <t xml:space="preserve">Bread toasting sliced 650 grm </t>
  </si>
  <si>
    <t xml:space="preserve">Bread white sliced 900 grm </t>
  </si>
  <si>
    <t xml:space="preserve">Cake mix chocolate 400 grm </t>
  </si>
  <si>
    <t>French baguette 300 gr</t>
  </si>
  <si>
    <t>Bread brown sliced 770 gr</t>
  </si>
  <si>
    <t xml:space="preserve">French croissants 6 pcs </t>
  </si>
  <si>
    <t>Hamburger bon 12 pcs</t>
  </si>
  <si>
    <t xml:space="preserve">Pan cake mix 400 grm </t>
  </si>
  <si>
    <t xml:space="preserve">Hot cake mix  400 grm </t>
  </si>
  <si>
    <t>Lays cheaps personal 40gm pack</t>
  </si>
  <si>
    <t>Lays crips plain salted 110gm pack</t>
  </si>
  <si>
    <t>Lays crips cheese &amp; onion 110gm pack</t>
  </si>
  <si>
    <t>Lays crips plain and cheese190gm pack</t>
  </si>
  <si>
    <t>Doritos 150gm pack</t>
  </si>
  <si>
    <t>Pringals 40gm box</t>
  </si>
  <si>
    <t>Pringals 118gm box</t>
  </si>
  <si>
    <t>Farfalle 454 grm</t>
  </si>
  <si>
    <t>Farfalle mini 200 grm</t>
  </si>
  <si>
    <t>Fettucini 300 grm</t>
  </si>
  <si>
    <t>Fussili pasta 400 grm</t>
  </si>
  <si>
    <t xml:space="preserve">Glas noodles </t>
  </si>
  <si>
    <t>Lasagna sheets 500 grm</t>
  </si>
  <si>
    <t xml:space="preserve">Lenguini 500 grm </t>
  </si>
  <si>
    <t>Macaronis 200 grm</t>
  </si>
  <si>
    <t>Macaronis elbows 200 grm</t>
  </si>
  <si>
    <t>Pancit cantoon noodles 350 grm</t>
  </si>
  <si>
    <t>Paste shelles</t>
  </si>
  <si>
    <t xml:space="preserve">Rammen noodles 70 gr </t>
  </si>
  <si>
    <t>Paste shelles mini</t>
  </si>
  <si>
    <t>Penne rigate pasta</t>
  </si>
  <si>
    <t>Spaghettis</t>
  </si>
  <si>
    <t xml:space="preserve">Tagliatelles 300 grm </t>
  </si>
  <si>
    <t>Crabmeat</t>
  </si>
  <si>
    <t>Escargot</t>
  </si>
  <si>
    <t>Mussels natural</t>
  </si>
  <si>
    <t>Sardines hot 155 grm</t>
  </si>
  <si>
    <t>Sardines in oil  155 grm</t>
  </si>
  <si>
    <t>Sardines in tomato 155 grm</t>
  </si>
  <si>
    <t>Tuna in water  170 grm</t>
  </si>
  <si>
    <t xml:space="preserve">Tuna in oil 170 grm </t>
  </si>
  <si>
    <t xml:space="preserve">Tuna in vegetable 170 grm </t>
  </si>
  <si>
    <t xml:space="preserve">Tuna natural 185 grm </t>
  </si>
  <si>
    <t>Fish fillet as per require  (fresh or frozen)</t>
  </si>
  <si>
    <t>Fresh fish (robalo,baracuda, colorado, cubera)  (fresh or frozen)</t>
  </si>
  <si>
    <t>Tilapia m (fresh or frozen)</t>
  </si>
  <si>
    <t>Philadelphia cream chees 150 gr</t>
  </si>
  <si>
    <t>American cheese</t>
  </si>
  <si>
    <t>Cheddar cheese</t>
  </si>
  <si>
    <t>Cheddar cheese slice</t>
  </si>
  <si>
    <t>Cheese feta 6 onz</t>
  </si>
  <si>
    <t>Cheese gouda</t>
  </si>
  <si>
    <t>Cheese mozzarella whole</t>
  </si>
  <si>
    <t>Cheese sliced</t>
  </si>
  <si>
    <t>Cottage cheese 319 grm</t>
  </si>
  <si>
    <t xml:space="preserve">Goat cheese 10.5 onz. </t>
  </si>
  <si>
    <t>Manchego 460grm.</t>
  </si>
  <si>
    <t xml:space="preserve">Mozarella cheese grated </t>
  </si>
  <si>
    <t xml:space="preserve">Provolone cheese 690grm. </t>
  </si>
  <si>
    <t>Swiss cheese 690grm.</t>
  </si>
  <si>
    <t>Beef bone knuckle</t>
  </si>
  <si>
    <t>Beef bone marrow</t>
  </si>
  <si>
    <t>Beef brisket boneless</t>
  </si>
  <si>
    <t>Beef chunk for mincing</t>
  </si>
  <si>
    <t xml:space="preserve">Beef chunk </t>
  </si>
  <si>
    <t>Beef cube rools</t>
  </si>
  <si>
    <t>Beef liver</t>
  </si>
  <si>
    <t>Beef minced</t>
  </si>
  <si>
    <t>Beef ribeye</t>
  </si>
  <si>
    <t>Beef rounds bone in</t>
  </si>
  <si>
    <t>Beef shin chopped</t>
  </si>
  <si>
    <t>Beef rump steak boneless</t>
  </si>
  <si>
    <t>Beef shank bone in</t>
  </si>
  <si>
    <t>Beef shortrib bone in</t>
  </si>
  <si>
    <t>Beef silverside</t>
  </si>
  <si>
    <t>Beef sirloin</t>
  </si>
  <si>
    <t>Beef spare ribs cutted</t>
  </si>
  <si>
    <t>Beef stripe</t>
  </si>
  <si>
    <t>Beef striploin</t>
  </si>
  <si>
    <t>Beef tail</t>
  </si>
  <si>
    <t>Beef tenderloin 2/3 lbs</t>
  </si>
  <si>
    <t>Beef topside</t>
  </si>
  <si>
    <t>Bones beef ( for soup cutted)</t>
  </si>
  <si>
    <t>Hamburger pure beef</t>
  </si>
  <si>
    <t>T bone steak sliced</t>
  </si>
  <si>
    <t xml:space="preserve">Beef rump </t>
  </si>
  <si>
    <t>Beef thick flank</t>
  </si>
  <si>
    <t>Ox-tongue</t>
  </si>
  <si>
    <t>Ron xl extra light btl/750ml</t>
  </si>
  <si>
    <t>Ron botran 12 years btl/750ml</t>
  </si>
  <si>
    <t>Ron botran 8 years btl/750ml</t>
  </si>
  <si>
    <t>Ron botran 5 years btl/750ml</t>
  </si>
  <si>
    <t>Bacardi blanco 750ml</t>
  </si>
  <si>
    <t>Bacardi blanco 1750ml</t>
  </si>
  <si>
    <t>Bacardi oro superior 1750ml</t>
  </si>
  <si>
    <t>Bacardi oro superior 750ml</t>
  </si>
  <si>
    <t xml:space="preserve">Bacardi 12 years 1 lt </t>
  </si>
  <si>
    <t>Zacapa ron 23 years</t>
  </si>
  <si>
    <t>Salt cooking fine</t>
  </si>
  <si>
    <t>Salt table</t>
  </si>
  <si>
    <t>Barbecue sauce</t>
  </si>
  <si>
    <t>Chili sauce hot 300ml</t>
  </si>
  <si>
    <t>Heinz tomato ketchup 340lt.</t>
  </si>
  <si>
    <t>Italian dressing</t>
  </si>
  <si>
    <t>Kikkoman soya sauce 591ml</t>
  </si>
  <si>
    <t xml:space="preserve">Maggi  brand chcken bouilion </t>
  </si>
  <si>
    <t>Mayonnaise 500 ml</t>
  </si>
  <si>
    <t>Oyster sauce 500 ml</t>
  </si>
  <si>
    <t>Soy sauce 1lt</t>
  </si>
  <si>
    <t>Soya sauce dark 1lt</t>
  </si>
  <si>
    <t>Tabasco sauce 60ml</t>
  </si>
  <si>
    <t>Thousand island dressing</t>
  </si>
  <si>
    <t>Tomato puree</t>
  </si>
  <si>
    <t>Tomato sauce</t>
  </si>
  <si>
    <t>Sauce chili garlic 250ml</t>
  </si>
  <si>
    <t>Sweet and sour</t>
  </si>
  <si>
    <t>Tereyaki 200 ml</t>
  </si>
  <si>
    <t>Maggie seasoning 100 ml</t>
  </si>
  <si>
    <t>Shampo head&amp;shoulder men (375ml btl)</t>
  </si>
  <si>
    <t>Inst. Chicken soup with noodles</t>
  </si>
  <si>
    <t>Soup powder asparagus</t>
  </si>
  <si>
    <t>Soup powder chick noodle</t>
  </si>
  <si>
    <t>Soup powder leeks</t>
  </si>
  <si>
    <t>Soup powder mushrooms</t>
  </si>
  <si>
    <t>Soup powder oignon</t>
  </si>
  <si>
    <t>Soup powder tomato</t>
  </si>
  <si>
    <t>Assrted fruit flvr tea (20 pc pkt)</t>
  </si>
  <si>
    <t>Camomille teabags (20 pc pkt)</t>
  </si>
  <si>
    <t>Jasmine tea   (20pc pkt)</t>
  </si>
  <si>
    <t>Green tea   (20pc pkt)</t>
  </si>
  <si>
    <t>Teabags liptons yellow label (100 bags)</t>
  </si>
  <si>
    <t>Teabags mint ( 20pc pkt)</t>
  </si>
  <si>
    <t>Dishwashing liquid 1 lt</t>
  </si>
  <si>
    <t>Strong plastic bags (33gallon) 100 pec pack</t>
  </si>
  <si>
    <t>Strong plastic bags (55gallon) 50 pec pack</t>
  </si>
  <si>
    <t xml:space="preserve">Toilet paper  per roll </t>
  </si>
  <si>
    <t>Floor cleaner lt</t>
  </si>
  <si>
    <t>Wc clener 750ml</t>
  </si>
  <si>
    <t>Plastic food wrap (2000 ft)</t>
  </si>
  <si>
    <t>Vanilla essence 200ml</t>
  </si>
  <si>
    <t>Carrots &amp; peas</t>
  </si>
  <si>
    <t>Carrots whole baby</t>
  </si>
  <si>
    <t>French fried potatoes</t>
  </si>
  <si>
    <t>Mushrooms sliced</t>
  </si>
  <si>
    <t xml:space="preserve">Mushrooms whole </t>
  </si>
  <si>
    <t>Asparagus green</t>
  </si>
  <si>
    <t>Avocado</t>
  </si>
  <si>
    <t>Pepper bell green</t>
  </si>
  <si>
    <t>Pepper bell red</t>
  </si>
  <si>
    <t>Pepper bell yellow</t>
  </si>
  <si>
    <t>Coriander</t>
  </si>
  <si>
    <t>Broccolis</t>
  </si>
  <si>
    <t>Cabbage white</t>
  </si>
  <si>
    <t>Cabbages green</t>
  </si>
  <si>
    <t>Carrots</t>
  </si>
  <si>
    <t>Cauliflowers</t>
  </si>
  <si>
    <t>Celery green</t>
  </si>
  <si>
    <t>Chayottes</t>
  </si>
  <si>
    <t>Cherry tomato</t>
  </si>
  <si>
    <t xml:space="preserve">Pepper chili  red </t>
  </si>
  <si>
    <t>Pepper chilli green</t>
  </si>
  <si>
    <t>Corn on cob</t>
  </si>
  <si>
    <t>Cucumbers</t>
  </si>
  <si>
    <t>Curly lettuce</t>
  </si>
  <si>
    <t>Eggplant</t>
  </si>
  <si>
    <t>Garden peas</t>
  </si>
  <si>
    <t>Garlic</t>
  </si>
  <si>
    <t>Ginger</t>
  </si>
  <si>
    <t xml:space="preserve">Green beans </t>
  </si>
  <si>
    <t>Leeks long stem</t>
  </si>
  <si>
    <t>Lettuce iceberg</t>
  </si>
  <si>
    <t>Lettuce red oak</t>
  </si>
  <si>
    <t>Okra (lady finger)</t>
  </si>
  <si>
    <t>Onions white fresh</t>
  </si>
  <si>
    <t>Onions yellow</t>
  </si>
  <si>
    <t>Onions red</t>
  </si>
  <si>
    <t>Parsley</t>
  </si>
  <si>
    <t xml:space="preserve">Potatoes big </t>
  </si>
  <si>
    <t xml:space="preserve">Potatoes small </t>
  </si>
  <si>
    <t>Sweet potato</t>
  </si>
  <si>
    <t>Pumpkin yellow</t>
  </si>
  <si>
    <t>Raddishes red</t>
  </si>
  <si>
    <t>Snow peas</t>
  </si>
  <si>
    <t>Soy beans sprouts</t>
  </si>
  <si>
    <t>Spinach leaves</t>
  </si>
  <si>
    <t>Tomatoes half ripe</t>
  </si>
  <si>
    <t>Tomatoes ripe</t>
  </si>
  <si>
    <t>Watercress</t>
  </si>
  <si>
    <t>Zucchini / marrows green</t>
  </si>
  <si>
    <t xml:space="preserve">Asparagus spears </t>
  </si>
  <si>
    <t xml:space="preserve">Baby corn whole </t>
  </si>
  <si>
    <t xml:space="preserve">Black beans  </t>
  </si>
  <si>
    <t xml:space="preserve">Chickpeas </t>
  </si>
  <si>
    <t>Jalapeno/big green hot chille 425 grm</t>
  </si>
  <si>
    <t>Mixed vegetables 454 grm</t>
  </si>
  <si>
    <t xml:space="preserve">Mushrooms sliced 454 grm </t>
  </si>
  <si>
    <t>Mushrooms whole 454 grm tin</t>
  </si>
  <si>
    <t>Palm hearts</t>
  </si>
  <si>
    <t xml:space="preserve">Peas and carrots </t>
  </si>
  <si>
    <t>Peas garden medium</t>
  </si>
  <si>
    <t>Red kidney beans long</t>
  </si>
  <si>
    <t>Red pimento whole</t>
  </si>
  <si>
    <t>Soybean sprouts</t>
  </si>
  <si>
    <t>Sweet corn kernels</t>
  </si>
  <si>
    <t xml:space="preserve">Tomato paste 454 grm </t>
  </si>
  <si>
    <t>Mixed pickles 400 gr</t>
  </si>
  <si>
    <t>Pickled cucumbers 600 grm</t>
  </si>
  <si>
    <t>Red sweet pepper pickled 300 gr</t>
  </si>
  <si>
    <t>Balsamic vinegar 250ml</t>
  </si>
  <si>
    <t>Balsamic white vinegar 227 ml</t>
  </si>
  <si>
    <t>Vinegar white</t>
  </si>
  <si>
    <t xml:space="preserve">Apple vinager 750ml </t>
  </si>
  <si>
    <t>Whte - spirit vinegar</t>
  </si>
  <si>
    <t>1 lt pack red wine</t>
  </si>
  <si>
    <t xml:space="preserve">750 ml bottle white </t>
  </si>
  <si>
    <t>750 ml bottle red(gato negro brand)</t>
  </si>
  <si>
    <t>Vodka sirov  btl/750ml</t>
  </si>
  <si>
    <t>Whisky williams lawson  btl/750ml</t>
  </si>
  <si>
    <t>Whisky chanceler  btl/1 ltr</t>
  </si>
  <si>
    <t>Johny walker red level 750 ml</t>
  </si>
  <si>
    <t>Johny walker black level 750 ml</t>
  </si>
  <si>
    <t>Old pair gold</t>
  </si>
  <si>
    <t>Vat 69 750 ml</t>
  </si>
  <si>
    <t xml:space="preserve">Yoghurt fruited assorted 125 grm </t>
  </si>
  <si>
    <t>Yoghurt plain 125 grm</t>
  </si>
  <si>
    <t>Yoghurt mix fruite</t>
  </si>
  <si>
    <t xml:space="preserve">Yoghurt fruited assorted </t>
  </si>
  <si>
    <t>Yoghurt plain -light</t>
  </si>
  <si>
    <t>Chocolate</t>
  </si>
  <si>
    <t>Ron</t>
  </si>
  <si>
    <t>Shampoo</t>
  </si>
  <si>
    <t>Vainilla</t>
  </si>
  <si>
    <t>Vodka</t>
  </si>
  <si>
    <t xml:space="preserve">Eggs fresh standrad </t>
  </si>
  <si>
    <t xml:space="preserve">Apricots </t>
  </si>
  <si>
    <t>sause english 200ml</t>
  </si>
  <si>
    <t>Soja Oil</t>
  </si>
  <si>
    <t>Olive Oil</t>
  </si>
  <si>
    <t xml:space="preserve">Sesame oil </t>
  </si>
  <si>
    <t xml:space="preserve">Capers </t>
  </si>
  <si>
    <t xml:space="preserve">Gherkins pickled </t>
  </si>
  <si>
    <t>Olives black</t>
  </si>
  <si>
    <t xml:space="preserve">Olives green </t>
  </si>
  <si>
    <t xml:space="preserve">Olives green stuffed </t>
  </si>
  <si>
    <t>Drinking Water 630 ml 20 pcs pack</t>
  </si>
  <si>
    <t>Drinking Water 1 lt btl 12 btl packs</t>
  </si>
  <si>
    <t>Drinking Water 3.03 lt 6btl case</t>
  </si>
  <si>
    <t>Drinking Water  2 lt btl 6btl pack</t>
  </si>
  <si>
    <t>Chicken legs kg</t>
  </si>
  <si>
    <t>Chicken nugget kg</t>
  </si>
  <si>
    <t>Chicken oven ready kg</t>
  </si>
  <si>
    <t xml:space="preserve">Chicken roasting </t>
  </si>
  <si>
    <t>Chicken wings kg</t>
  </si>
  <si>
    <t>Sugar white icing kg</t>
  </si>
  <si>
    <t xml:space="preserve">Coffee for expresso </t>
  </si>
  <si>
    <t xml:space="preserve">Coffe instant decafeinated </t>
  </si>
  <si>
    <t>Canned meat</t>
  </si>
  <si>
    <t>Cocktail saussages (tin)</t>
  </si>
  <si>
    <t>Frankfurter sausages (tin)</t>
  </si>
  <si>
    <t>Cocoa 652 gram hersley (jar)</t>
  </si>
  <si>
    <t xml:space="preserve">Cocoa powder </t>
  </si>
  <si>
    <t>Cigars</t>
  </si>
  <si>
    <t>Coconut</t>
  </si>
  <si>
    <t>Cinnamon powder  pkt</t>
  </si>
  <si>
    <t>Cinnamon whole  pkt</t>
  </si>
  <si>
    <t>Coriender powder kg</t>
  </si>
  <si>
    <t>Canned Fruit</t>
  </si>
  <si>
    <t>Instant noodles</t>
  </si>
  <si>
    <t>Fresh fruit</t>
  </si>
  <si>
    <t>Dried fruit</t>
  </si>
  <si>
    <t xml:space="preserve">Mixed nuts salted </t>
  </si>
  <si>
    <t xml:space="preserve">Mixed nuts with shell </t>
  </si>
  <si>
    <t>Cookies</t>
  </si>
  <si>
    <t>Flours</t>
  </si>
  <si>
    <t>Herbs</t>
  </si>
  <si>
    <t>Syrups / Concentrates</t>
  </si>
  <si>
    <t>Fruit Juices</t>
  </si>
  <si>
    <t>Milks / Creams</t>
  </si>
  <si>
    <t>Yeast</t>
  </si>
  <si>
    <t>Butter</t>
  </si>
  <si>
    <t xml:space="preserve">Pink shrimps </t>
  </si>
  <si>
    <t>Offals</t>
  </si>
  <si>
    <t>Jams</t>
  </si>
  <si>
    <t>Honey</t>
  </si>
  <si>
    <t>Mustard</t>
  </si>
  <si>
    <t>Bread / Bakery</t>
  </si>
  <si>
    <t>Chips</t>
  </si>
  <si>
    <t>Paste</t>
  </si>
  <si>
    <t>Fresh egg</t>
  </si>
  <si>
    <t>Egg</t>
  </si>
  <si>
    <t>Canned fish</t>
  </si>
  <si>
    <t>Fresh/frozen fish</t>
  </si>
  <si>
    <t>Cheese</t>
  </si>
  <si>
    <t>Beef</t>
  </si>
  <si>
    <t>Salt</t>
  </si>
  <si>
    <t>Sauce</t>
  </si>
  <si>
    <t>Soup</t>
  </si>
  <si>
    <t>Tea / Infusions</t>
  </si>
  <si>
    <t>Frozen Vegetables</t>
  </si>
  <si>
    <t>Fresh Vegetables</t>
  </si>
  <si>
    <t>Cabbages purple</t>
  </si>
  <si>
    <t>Canned Vegetables</t>
  </si>
  <si>
    <t>Vinegar</t>
  </si>
  <si>
    <t>wine</t>
  </si>
  <si>
    <t>Whisky</t>
  </si>
  <si>
    <t>Yoghurt</t>
  </si>
  <si>
    <t>Beers</t>
  </si>
  <si>
    <t>Oil</t>
  </si>
  <si>
    <t>Water</t>
  </si>
  <si>
    <t>Corn</t>
  </si>
  <si>
    <t>Eggs</t>
  </si>
  <si>
    <t>Duck</t>
  </si>
  <si>
    <t>Rice</t>
  </si>
  <si>
    <t>Chiken</t>
  </si>
  <si>
    <t>Sugar</t>
  </si>
  <si>
    <t>Pop Corn</t>
  </si>
  <si>
    <t>Flour</t>
  </si>
  <si>
    <t>Energy drink</t>
  </si>
  <si>
    <t>Coffe</t>
  </si>
  <si>
    <t>Pork</t>
  </si>
  <si>
    <t>Cereals</t>
  </si>
  <si>
    <t>Condiments</t>
  </si>
  <si>
    <t>Coldcuts</t>
  </si>
  <si>
    <t>Spices</t>
  </si>
  <si>
    <t>Thank you for choosing Caribbean Port Supply</t>
  </si>
  <si>
    <t>List of Supplies</t>
  </si>
  <si>
    <r>
      <rPr>
        <b/>
        <sz val="12"/>
        <color theme="1"/>
        <rFont val="Aptos"/>
        <family val="2"/>
      </rPr>
      <t>VESSEL NAME</t>
    </r>
    <r>
      <rPr>
        <b/>
        <sz val="12"/>
        <color rgb="FF0070C0"/>
        <rFont val="Aptos"/>
        <family val="2"/>
      </rPr>
      <t xml:space="preserve">:    MV PADEREWSKI                       </t>
    </r>
    <r>
      <rPr>
        <b/>
        <sz val="12"/>
        <color theme="1"/>
        <rFont val="Aptos"/>
        <family val="2"/>
      </rPr>
      <t>MASTER NAME:</t>
    </r>
    <r>
      <rPr>
        <b/>
        <sz val="12"/>
        <color rgb="FF0070C0"/>
        <rFont val="Aptos"/>
        <family val="2"/>
      </rPr>
      <t xml:space="preserve"> Kazimierz Jaskolski </t>
    </r>
  </si>
</sst>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&quot;$&quot;#,##0.00"/>
    <numFmt numFmtId="167" formatCode="@\ \ "/>
    <numFmt numFmtId="168" formatCode="0.00_)"/>
    <numFmt numFmtId="169" formatCode="_([$$-409]* #,##0.00_);_([$$-409]* \(#,##0.00\);_([$$-409]* &quot;-&quot;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Bell MT"/>
      <family val="1"/>
    </font>
    <font>
      <sz val="12"/>
      <color theme="1"/>
      <name val="Bell MT"/>
      <family val="1"/>
    </font>
    <font>
      <sz val="11"/>
      <color theme="1"/>
      <name val="Bell MT"/>
      <family val="1"/>
    </font>
    <font>
      <b/>
      <sz val="11"/>
      <name val="Bodoni MT"/>
      <family val="1"/>
    </font>
    <font>
      <sz val="12"/>
      <name val="Bodoni MT"/>
      <family val="1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4" tint="-0.499984740745262"/>
      <name val="Times New Roman"/>
      <family val="1"/>
    </font>
    <font>
      <b/>
      <sz val="11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70C0"/>
      <name val="Times New Roman"/>
      <family val="1"/>
    </font>
    <font>
      <b/>
      <sz val="10"/>
      <color theme="4" tint="-0.249977111117893"/>
      <name val="Times New Roman"/>
      <family val="1"/>
    </font>
    <font>
      <sz val="10"/>
      <color theme="4" tint="-0.249977111117893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0"/>
      <color theme="1"/>
      <name val="Calibri"/>
      <family val="1"/>
      <scheme val="minor"/>
    </font>
    <font>
      <sz val="16"/>
      <color rgb="FFFF0000"/>
      <name val="Times New Roman"/>
      <family val="1"/>
    </font>
    <font>
      <sz val="11"/>
      <color rgb="FF2EDD05"/>
      <name val="Times New Roman"/>
      <family val="1"/>
    </font>
    <font>
      <b/>
      <sz val="11"/>
      <color rgb="FF2EDD05"/>
      <name val="Times New Roman"/>
      <family val="1"/>
    </font>
    <font>
      <b/>
      <sz val="20"/>
      <color rgb="FF002060"/>
      <name val="Times New Roman"/>
      <family val="1"/>
    </font>
    <font>
      <sz val="14"/>
      <color rgb="FFFF0000"/>
      <name val="Times New Roman"/>
      <family val="1"/>
    </font>
    <font>
      <b/>
      <u/>
      <sz val="14"/>
      <color rgb="FF002060"/>
      <name val="Aptos"/>
      <family val="2"/>
    </font>
    <font>
      <sz val="11"/>
      <color theme="1"/>
      <name val="Aptos"/>
      <family val="2"/>
    </font>
    <font>
      <sz val="10"/>
      <color theme="1"/>
      <name val="Aptos"/>
      <family val="2"/>
    </font>
    <font>
      <b/>
      <sz val="10"/>
      <color theme="3"/>
      <name val="Aptos"/>
      <family val="2"/>
    </font>
    <font>
      <b/>
      <sz val="11"/>
      <color theme="2" tint="-0.749992370372631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rgb="FF0070C0"/>
      <name val="Aptos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2"/>
      <color indexed="8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9" fillId="0" borderId="0"/>
    <xf numFmtId="164" fontId="1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129">
    <xf numFmtId="0" fontId="0" fillId="0" borderId="0" xfId="0"/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167" fontId="10" fillId="2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left" vertical="center" wrapText="1"/>
    </xf>
    <xf numFmtId="10" fontId="11" fillId="2" borderId="1" xfId="0" applyNumberFormat="1" applyFont="1" applyFill="1" applyBorder="1" applyAlignment="1">
      <alignment horizontal="right" vertical="center"/>
    </xf>
    <xf numFmtId="166" fontId="10" fillId="2" borderId="1" xfId="0" applyNumberFormat="1" applyFont="1" applyFill="1" applyBorder="1" applyAlignment="1">
      <alignment horizontal="right"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165" fontId="12" fillId="2" borderId="1" xfId="1" applyFont="1" applyFill="1" applyBorder="1" applyAlignment="1">
      <alignment horizontal="left"/>
    </xf>
    <xf numFmtId="0" fontId="12" fillId="2" borderId="1" xfId="0" applyFont="1" applyFill="1" applyBorder="1"/>
    <xf numFmtId="0" fontId="12" fillId="2" borderId="1" xfId="0" applyFont="1" applyFill="1" applyBorder="1" applyAlignment="1">
      <alignment vertical="top"/>
    </xf>
    <xf numFmtId="165" fontId="12" fillId="2" borderId="1" xfId="1" applyFont="1" applyFill="1" applyBorder="1" applyAlignment="1">
      <alignment horizontal="left" vertical="top"/>
    </xf>
    <xf numFmtId="166" fontId="11" fillId="2" borderId="8" xfId="0" applyNumberFormat="1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left" vertical="top"/>
    </xf>
    <xf numFmtId="0" fontId="20" fillId="0" borderId="1" xfId="2" applyFont="1" applyBorder="1" applyAlignment="1">
      <alignment horizontal="left" vertical="center" wrapText="1"/>
    </xf>
    <xf numFmtId="169" fontId="22" fillId="0" borderId="1" xfId="0" applyNumberFormat="1" applyFont="1" applyBorder="1" applyAlignment="1" applyProtection="1">
      <alignment horizontal="center" vertical="center"/>
      <protection locked="0"/>
    </xf>
    <xf numFmtId="1" fontId="8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21" fillId="0" borderId="1" xfId="0" applyFont="1" applyBorder="1" applyAlignment="1">
      <alignment horizontal="left" vertical="center"/>
    </xf>
    <xf numFmtId="169" fontId="21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vertical="center" wrapText="1"/>
    </xf>
    <xf numFmtId="0" fontId="20" fillId="0" borderId="1" xfId="0" applyFont="1" applyBorder="1"/>
    <xf numFmtId="0" fontId="12" fillId="2" borderId="1" xfId="0" applyFont="1" applyFill="1" applyBorder="1" applyAlignment="1">
      <alignment horizontal="center" vertical="top"/>
    </xf>
    <xf numFmtId="168" fontId="12" fillId="2" borderId="1" xfId="0" applyNumberFormat="1" applyFont="1" applyFill="1" applyBorder="1" applyProtection="1">
      <protection locked="0"/>
    </xf>
    <xf numFmtId="0" fontId="12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top"/>
    </xf>
    <xf numFmtId="165" fontId="12" fillId="2" borderId="1" xfId="0" applyNumberFormat="1" applyFont="1" applyFill="1" applyBorder="1" applyAlignment="1" applyProtection="1">
      <alignment vertical="top"/>
      <protection locked="0"/>
    </xf>
    <xf numFmtId="168" fontId="12" fillId="2" borderId="1" xfId="0" applyNumberFormat="1" applyFont="1" applyFill="1" applyBorder="1" applyAlignment="1" applyProtection="1">
      <alignment horizontal="center" vertical="top"/>
      <protection locked="0"/>
    </xf>
    <xf numFmtId="0" fontId="12" fillId="2" borderId="1" xfId="0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top"/>
    </xf>
    <xf numFmtId="0" fontId="13" fillId="2" borderId="0" xfId="0" applyFont="1" applyFill="1" applyAlignment="1">
      <alignment horizontal="center" vertical="top"/>
    </xf>
    <xf numFmtId="0" fontId="18" fillId="2" borderId="1" xfId="0" applyFont="1" applyFill="1" applyBorder="1" applyAlignment="1">
      <alignment vertical="top"/>
    </xf>
    <xf numFmtId="0" fontId="19" fillId="2" borderId="1" xfId="0" applyFont="1" applyFill="1" applyBorder="1" applyAlignment="1">
      <alignment horizontal="center" vertical="top"/>
    </xf>
    <xf numFmtId="0" fontId="18" fillId="2" borderId="1" xfId="0" applyFont="1" applyFill="1" applyBorder="1" applyAlignment="1">
      <alignment horizontal="center" vertical="top"/>
    </xf>
    <xf numFmtId="0" fontId="18" fillId="2" borderId="1" xfId="0" applyFont="1" applyFill="1" applyBorder="1" applyAlignment="1">
      <alignment vertical="top" wrapText="1"/>
    </xf>
    <xf numFmtId="168" fontId="12" fillId="2" borderId="1" xfId="0" applyNumberFormat="1" applyFont="1" applyFill="1" applyBorder="1" applyAlignment="1">
      <alignment horizontal="left" vertical="top"/>
    </xf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165" fontId="12" fillId="2" borderId="20" xfId="1" applyFont="1" applyFill="1" applyBorder="1" applyAlignment="1">
      <alignment horizontal="left"/>
    </xf>
    <xf numFmtId="0" fontId="14" fillId="2" borderId="9" xfId="0" applyFont="1" applyFill="1" applyBorder="1" applyAlignment="1">
      <alignment horizontal="center" vertical="top"/>
    </xf>
    <xf numFmtId="0" fontId="14" fillId="2" borderId="0" xfId="0" applyFont="1" applyFill="1" applyAlignment="1">
      <alignment horizontal="center" vertical="top"/>
    </xf>
    <xf numFmtId="0" fontId="13" fillId="2" borderId="9" xfId="0" applyFont="1" applyFill="1" applyBorder="1" applyAlignment="1">
      <alignment horizontal="center" vertical="top"/>
    </xf>
    <xf numFmtId="0" fontId="27" fillId="2" borderId="0" xfId="0" applyFont="1" applyFill="1" applyAlignment="1">
      <alignment horizontal="center" vertical="top"/>
    </xf>
    <xf numFmtId="0" fontId="13" fillId="2" borderId="10" xfId="0" applyFont="1" applyFill="1" applyBorder="1" applyAlignment="1">
      <alignment horizontal="center" vertical="top"/>
    </xf>
    <xf numFmtId="0" fontId="28" fillId="2" borderId="0" xfId="0" applyFont="1" applyFill="1" applyAlignment="1">
      <alignment horizontal="center" vertical="top"/>
    </xf>
    <xf numFmtId="0" fontId="13" fillId="2" borderId="5" xfId="0" applyFont="1" applyFill="1" applyBorder="1" applyAlignment="1">
      <alignment horizontal="center" vertical="top"/>
    </xf>
    <xf numFmtId="0" fontId="13" fillId="2" borderId="6" xfId="0" applyFont="1" applyFill="1" applyBorder="1" applyAlignment="1">
      <alignment horizontal="center" vertical="top"/>
    </xf>
    <xf numFmtId="0" fontId="13" fillId="2" borderId="7" xfId="0" applyFont="1" applyFill="1" applyBorder="1" applyAlignment="1">
      <alignment horizontal="center" vertical="top"/>
    </xf>
    <xf numFmtId="0" fontId="13" fillId="2" borderId="0" xfId="0" applyFont="1" applyFill="1" applyAlignment="1">
      <alignment vertical="top"/>
    </xf>
    <xf numFmtId="0" fontId="0" fillId="2" borderId="0" xfId="0" applyFill="1"/>
    <xf numFmtId="0" fontId="13" fillId="2" borderId="1" xfId="0" applyFont="1" applyFill="1" applyBorder="1" applyAlignment="1">
      <alignment vertical="top"/>
    </xf>
    <xf numFmtId="0" fontId="16" fillId="2" borderId="1" xfId="0" applyFont="1" applyFill="1" applyBorder="1" applyAlignment="1">
      <alignment horizontal="right"/>
    </xf>
    <xf numFmtId="165" fontId="16" fillId="4" borderId="1" xfId="1" applyFont="1" applyFill="1" applyBorder="1" applyAlignment="1">
      <alignment horizontal="left" vertical="top"/>
    </xf>
    <xf numFmtId="0" fontId="37" fillId="2" borderId="0" xfId="0" applyFont="1" applyFill="1"/>
    <xf numFmtId="0" fontId="36" fillId="2" borderId="1" xfId="0" applyFont="1" applyFill="1" applyBorder="1" applyAlignment="1">
      <alignment vertical="center"/>
    </xf>
    <xf numFmtId="0" fontId="36" fillId="2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vertical="center" wrapText="1"/>
    </xf>
    <xf numFmtId="0" fontId="37" fillId="2" borderId="1" xfId="0" applyFont="1" applyFill="1" applyBorder="1"/>
    <xf numFmtId="168" fontId="38" fillId="2" borderId="1" xfId="0" applyNumberFormat="1" applyFont="1" applyFill="1" applyBorder="1" applyAlignment="1">
      <alignment horizontal="left"/>
    </xf>
    <xf numFmtId="168" fontId="38" fillId="2" borderId="1" xfId="0" applyNumberFormat="1" applyFont="1" applyFill="1" applyBorder="1" applyProtection="1">
      <protection locked="0"/>
    </xf>
    <xf numFmtId="0" fontId="37" fillId="2" borderId="1" xfId="0" applyFont="1" applyFill="1" applyBorder="1" applyAlignment="1">
      <alignment horizontal="center" vertical="top"/>
    </xf>
    <xf numFmtId="165" fontId="37" fillId="2" borderId="1" xfId="1" applyFont="1" applyFill="1" applyBorder="1" applyAlignment="1">
      <alignment horizontal="left"/>
    </xf>
    <xf numFmtId="168" fontId="38" fillId="2" borderId="1" xfId="0" applyNumberFormat="1" applyFont="1" applyFill="1" applyBorder="1" applyAlignment="1" applyProtection="1">
      <alignment horizontal="left" vertical="top"/>
      <protection locked="0"/>
    </xf>
    <xf numFmtId="0" fontId="38" fillId="2" borderId="1" xfId="0" applyFont="1" applyFill="1" applyBorder="1" applyAlignment="1" applyProtection="1">
      <alignment horizontal="center" vertical="top"/>
      <protection locked="0"/>
    </xf>
    <xf numFmtId="168" fontId="37" fillId="2" borderId="1" xfId="0" applyNumberFormat="1" applyFont="1" applyFill="1" applyBorder="1" applyProtection="1">
      <protection locked="0"/>
    </xf>
    <xf numFmtId="0" fontId="35" fillId="2" borderId="2" xfId="0" applyFont="1" applyFill="1" applyBorder="1" applyAlignment="1">
      <alignment horizontal="left" vertical="top" wrapText="1"/>
    </xf>
    <xf numFmtId="0" fontId="35" fillId="2" borderId="3" xfId="0" applyFont="1" applyFill="1" applyBorder="1" applyAlignment="1">
      <alignment horizontal="left" vertical="top" wrapText="1"/>
    </xf>
    <xf numFmtId="0" fontId="35" fillId="2" borderId="4" xfId="0" applyFont="1" applyFill="1" applyBorder="1" applyAlignment="1">
      <alignment horizontal="left" vertical="top" wrapText="1"/>
    </xf>
    <xf numFmtId="0" fontId="35" fillId="2" borderId="18" xfId="0" applyFont="1" applyFill="1" applyBorder="1" applyAlignment="1">
      <alignment horizontal="left" vertical="top" wrapText="1"/>
    </xf>
    <xf numFmtId="0" fontId="35" fillId="2" borderId="13" xfId="0" applyFont="1" applyFill="1" applyBorder="1" applyAlignment="1">
      <alignment horizontal="left" vertical="top" wrapText="1"/>
    </xf>
    <xf numFmtId="0" fontId="35" fillId="2" borderId="19" xfId="0" applyFont="1" applyFill="1" applyBorder="1" applyAlignment="1">
      <alignment horizontal="left" vertical="top" wrapText="1"/>
    </xf>
    <xf numFmtId="0" fontId="34" fillId="2" borderId="9" xfId="4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0" fillId="2" borderId="10" xfId="0" applyFont="1" applyFill="1" applyBorder="1" applyAlignment="1">
      <alignment horizontal="center" vertical="center"/>
    </xf>
    <xf numFmtId="0" fontId="31" fillId="2" borderId="9" xfId="0" applyFont="1" applyFill="1" applyBorder="1" applyAlignment="1">
      <alignment horizontal="center"/>
    </xf>
    <xf numFmtId="0" fontId="31" fillId="2" borderId="0" xfId="0" applyFont="1" applyFill="1" applyAlignment="1">
      <alignment horizontal="center"/>
    </xf>
    <xf numFmtId="0" fontId="31" fillId="2" borderId="10" xfId="0" applyFont="1" applyFill="1" applyBorder="1" applyAlignment="1">
      <alignment horizontal="center"/>
    </xf>
    <xf numFmtId="0" fontId="32" fillId="2" borderId="9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2" fillId="2" borderId="10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0" fontId="33" fillId="2" borderId="9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center" vertical="center"/>
    </xf>
    <xf numFmtId="0" fontId="33" fillId="2" borderId="10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top"/>
    </xf>
    <xf numFmtId="0" fontId="14" fillId="2" borderId="3" xfId="0" applyFont="1" applyFill="1" applyBorder="1" applyAlignment="1">
      <alignment horizontal="center" vertical="top"/>
    </xf>
    <xf numFmtId="0" fontId="14" fillId="2" borderId="4" xfId="0" applyFont="1" applyFill="1" applyBorder="1" applyAlignment="1">
      <alignment horizontal="center" vertical="top"/>
    </xf>
    <xf numFmtId="0" fontId="15" fillId="2" borderId="0" xfId="0" applyFont="1" applyFill="1" applyAlignment="1">
      <alignment horizontal="center" vertical="top"/>
    </xf>
    <xf numFmtId="0" fontId="15" fillId="2" borderId="10" xfId="0" applyFont="1" applyFill="1" applyBorder="1" applyAlignment="1">
      <alignment horizontal="center" vertical="top"/>
    </xf>
    <xf numFmtId="0" fontId="17" fillId="2" borderId="2" xfId="0" applyFont="1" applyFill="1" applyBorder="1" applyAlignment="1">
      <alignment horizontal="left" vertical="top" wrapText="1"/>
    </xf>
    <xf numFmtId="0" fontId="17" fillId="2" borderId="3" xfId="0" applyFont="1" applyFill="1" applyBorder="1" applyAlignment="1">
      <alignment horizontal="left" vertical="top" wrapText="1"/>
    </xf>
    <xf numFmtId="0" fontId="17" fillId="2" borderId="4" xfId="0" applyFont="1" applyFill="1" applyBorder="1" applyAlignment="1">
      <alignment horizontal="left" vertical="top" wrapText="1"/>
    </xf>
    <xf numFmtId="0" fontId="17" fillId="2" borderId="18" xfId="0" applyFont="1" applyFill="1" applyBorder="1" applyAlignment="1">
      <alignment horizontal="left" vertical="top" wrapText="1"/>
    </xf>
    <xf numFmtId="0" fontId="17" fillId="2" borderId="13" xfId="0" applyFont="1" applyFill="1" applyBorder="1" applyAlignment="1">
      <alignment horizontal="left" vertical="top" wrapText="1"/>
    </xf>
    <xf numFmtId="0" fontId="17" fillId="2" borderId="19" xfId="0" applyFont="1" applyFill="1" applyBorder="1" applyAlignment="1">
      <alignment horizontal="left" vertical="top" wrapText="1"/>
    </xf>
    <xf numFmtId="0" fontId="5" fillId="2" borderId="1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top" wrapText="1"/>
    </xf>
    <xf numFmtId="0" fontId="16" fillId="2" borderId="3" xfId="0" applyFont="1" applyFill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0" fontId="16" fillId="2" borderId="9" xfId="0" applyFont="1" applyFill="1" applyBorder="1" applyAlignment="1">
      <alignment horizontal="left" vertical="top" wrapText="1"/>
    </xf>
    <xf numFmtId="0" fontId="16" fillId="2" borderId="0" xfId="0" applyFont="1" applyFill="1" applyAlignment="1">
      <alignment horizontal="left" vertical="top" wrapText="1"/>
    </xf>
    <xf numFmtId="0" fontId="16" fillId="2" borderId="10" xfId="0" applyFont="1" applyFill="1" applyBorder="1" applyAlignment="1">
      <alignment horizontal="left" vertical="top" wrapText="1"/>
    </xf>
    <xf numFmtId="0" fontId="16" fillId="2" borderId="5" xfId="0" applyFont="1" applyFill="1" applyBorder="1" applyAlignment="1">
      <alignment horizontal="left" vertical="top" wrapText="1"/>
    </xf>
    <xf numFmtId="0" fontId="16" fillId="2" borderId="6" xfId="0" applyFont="1" applyFill="1" applyBorder="1" applyAlignment="1">
      <alignment horizontal="left" vertical="top" wrapText="1"/>
    </xf>
    <xf numFmtId="0" fontId="16" fillId="2" borderId="7" xfId="0" applyFont="1" applyFill="1" applyBorder="1" applyAlignment="1">
      <alignment horizontal="left" vertical="top" wrapText="1"/>
    </xf>
    <xf numFmtId="0" fontId="23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0" fillId="2" borderId="0" xfId="0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</cellXfs>
  <cellStyles count="5">
    <cellStyle name="Comma 2" xfId="3"/>
    <cellStyle name="Normal 2" xfId="2"/>
    <cellStyle name="Гиперссылка" xfId="4" builtinId="8"/>
    <cellStyle name="Денежный" xfId="1" builtinId="4"/>
    <cellStyle name="Обычный" xfId="0" builtinId="0"/>
  </cellStyles>
  <dxfs count="1">
    <dxf>
      <fill>
        <patternFill>
          <bgColor rgb="FFF5FAFA"/>
        </patternFill>
      </fill>
    </dxf>
  </dxfs>
  <tableStyles count="0" defaultTableStyle="TableStyleMedium2" defaultPivotStyle="PivotStyleLight16"/>
  <colors>
    <mruColors>
      <color rgb="FFD00E20"/>
      <color rgb="FF2EDD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google.com.gt/imgres?num=10&amp;hl=es&amp;tbo=d&amp;biw=1366&amp;bih=674&amp;tbm=isch&amp;tbnid=M7z8Rt0t-3jorM:&amp;imgrefurl=http://www.taringa.net/posts/info/11193760/Propaganda-de-Bon-o-Bon_.html&amp;docid=PxW__0OqIPDisM&amp;imgurl=http://1.bp.blogspot.com/-Q1IUagWFOrk/TX4MuXKvuQI/AAAAAAAAACM/tgLOWXG7HIQ/s1600/bon-o-bon.jpg&amp;w=450&amp;h=313&amp;ei=fEgDUb4kkMz0BJLIgKgJ&amp;zoom=1&amp;iact=rc&amp;dur=875&amp;sig=104771653422884626583&amp;page=1&amp;tbnh=186&amp;tbnw=269&amp;start=0&amp;ndsp=18&amp;ved=1t:429,r:8,s:0&amp;tx=139&amp;ty=79&amp;ved=1t:3588,r:8,s:0,i:10" TargetMode="External"/><Relationship Id="rId1" Type="http://schemas.openxmlformats.org/officeDocument/2006/relationships/hyperlink" Target="http://www.google.com.gt/imgres?num=10&amp;hl=es&amp;tbo=d&amp;biw=1366&amp;bih=674&amp;tbm=isch&amp;tbnid=M7z8Rt0t-3jorM:&amp;imgrefurl=http://www.taringa.net/posts/info/11193760/Propaganda-de-Bon-o-Bon_.html&amp;docid=PxW__0OqIPDisM&amp;imgurl=http://1.bp.blogspot.com/-Q1IUagWFOrk/TX4MuXKvuQI/AAAAAAAAACM/tgLOWXG7HIQ/s1600/bon-o-bon.jpg&amp;w=450&amp;h=313&amp;ei=fEgDUb4kkMz0BJLIgKgJ&amp;zoom=1&amp;iact=rc&amp;dur=593&amp;sig=104771653422884626583&amp;page=1&amp;tbnh=186&amp;tbnw=269&amp;start=0&amp;ndsp=18&amp;ved=1t:429,r:8,s:0&amp;tx=149&amp;ty=9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1333500</xdr:colOff>
      <xdr:row>7</xdr:row>
      <xdr:rowOff>165653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244C191-07B8-6212-6709-3186E170A5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t="8219" r="12181" b="13549"/>
        <a:stretch>
          <a:fillRect/>
        </a:stretch>
      </xdr:blipFill>
      <xdr:spPr>
        <a:xfrm>
          <a:off x="0" y="1"/>
          <a:ext cx="1673087" cy="14743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3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4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5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6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7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8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9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10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11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12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13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14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15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16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17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18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19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20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21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22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23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24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25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26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27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28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29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30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31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32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33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34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35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36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37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38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39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40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41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42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43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44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45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46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47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48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49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50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51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52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53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54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55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56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57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58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59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60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61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62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63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64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65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66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67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68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69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70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71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72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73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74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75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76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77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28650"/>
    <xdr:sp macro="" textlink="">
      <xdr:nvSpPr>
        <xdr:cNvPr id="78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79" name="AutoShape 2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657225"/>
    <xdr:sp macro="" textlink="">
      <xdr:nvSpPr>
        <xdr:cNvPr id="80" name="AutoShape 3" descr="data:image/jpeg;base64,/9j/4AAQSkZJRgABAQAAAQABAAD/2wCEAAkGBhQSERQUExQVFRUWFxcUFhUVGBUVFRcYFRUVFRoVFhgXHCYfFxkjHBgXHy8gIycpLCwsFx4xNTAqNSYrLCwBCQoKDgwOGg8PGiwkHyUqLCwqLC0tKiwqLyoqLCwsLCwtLSwwKS8sLywsLCwsLSosLCwsLS0sLCwsLC0qLCosLP/AABEIALsBDQMBIgACEQEDEQH/xAAcAAEAAgMBAQEAAAAAAAAAAAAABAYCAwUBBwj/xABEEAACAQMCAwYCBgkCAgsAAAABAgMABBESIQUxQQYTIlFhgXGRFDJCUqGxByNicoLB0eHwM6JjkhUWJDRDU3N0stLx/8QAGwEAAQUBAQAAAAAAAAAAAAAAAAECAwQFBgf/xAAzEQACAQIEAwYGAgEFAAAAAAAAAQIDEQQSITFBUXEFE2GBkfAiMqGxwdFC4SMUM1Jy8f/aAAwDAQACEQMRAD8A+40pSgBSlKAFKUoAUpSgBSlKAFKUoAUpSgBSlKAFKUoAUpSgBSlKAFKUoAUqOt/Gdta/MUm4gijOoH0G5PsKheIpJXzK3VDsr5EilQDxhOZBx7VLgnVxlTkelNpYqjWdqck2Dg1ujZSlKsDRSlKAFKUoAUpSgBSlKAFKUoAUpSgBSlKAFKUoAUpSgBSlKAFKUoAUpSgBSlKAFReJXOiJmHPGB8TsKlVxePXG6p/EfyH86pY+v3GHlNb7Lq9ESUo5pJHJiIUbmpSR5AO4O2PQc9/jWmOEHfSNvxPPFROIcQ1ZCk46n73oPT864SEcsby8v2aVszsjO4vwTgch+J88+VT+zt6ocpk5ffB5ZHl7VwIhk1MYYAxsRuD1yOtSYes6FZVVw9sdOmnHKXilQ+FX4ljDdRsw8iP8zUyvQadSNSKnHZmRJOLsxSlKeIKUpQApSlAClKUAKUpQApSlAClKUAKUpQApSvCaAPaVyuKdqLa3XVNMiD1O5+AG59qrUn6YbLOIxNN/6aZ/Mg1Cq9N7O/TX7E8cPVkrqLt9C9UqiJ+lmPm1peKv3jEcV0LD9J9hKcd+qN91/CffoPnSOvBb39GOeFq8I36a/a5a6VqgulcAowYHkQQQfhittSxkpK6dyu1bcUpSnCHhqs3Ta3ZuhOBnyGw/Deu9xGUrE5HPG3vtVLvbsfUUbfaPw+z6Dz865vtyrrCl5/hfkuYWDd2jK+4hnwr9Xz+9/b86g6tq1yy71gr71zrTerNSMUloToGCjJ61sWbWcLz9evwqCWJPoNh/et0YJORtSNLYa1xO3wOfu5cZ2bSp2wMnOPcfzq118/kuAp57g5OPvbeflgD2q+W02tFYfaAPzFdR2JWvCVLlqvMzcVCzUuZspSlb5TFKUoAUpSgBStBvFBIOdts42z8a2q4PI5+FMjUhJ2i0K00ZUpSniClKUAKUpQApSuZ2g40ltC0jsF25np5nHXHl1JA60yc1CLkx0YuTUVue8X47HAuWIzvgZxyGolj0AG59K+dT9s7+6YrbQkBhrUsmZChzpdI2KqiHGzSEasHBbkK6ONteXAMhaK2BbUSD3kqK3jgiH1ndz4SqfeOo8hWUXaO8lmmKIlsWL3E88+rEKE6FJyMDSqpGoCksUOOuKTpOt/v6p/x4efP7eBqxoKndJrRXlLez5dfX1OXxmxvrdxJLBIryNpWR9E8rNgnCnDYOM/UVTgczXsnCeKSDU6Txr53E5hX5Tyrj2FTL3tY42iecl1I+mTZjmkHlAoGLeHI3C+NsDLDFV6Lhkk8gVEMsh36u/wASW3x6k1PpGO+i8kalDD1akc7UIrnJZpddXp5smrwa4U/99tEP/v0z/sJqUnC758KtzaXX/Da6trrPoFuDkexBqNb9lbg3MVvIhiaQnSXHhwAWJBGzYA5A12uPfo27uGR4plnMP+rGVAZRpDHG530kNg9KqTxtCEoxctXtq7ct9txK2Hp3UZVYtvb4Fb1T09TlQTTWcxUCbhtx9Yr+se0kGcamjbWVGftoZF9F519F7J/pSLhFvU7ksxRJxvbSsucqsuSFfYnSx9xyr5hwrj4EX0W7Dy2ucoyH9fat9+Anp5x8j08jIewlsDlit7w+6ABbJEM6jlud4LlTyzuCCMkZxYlTTeZOz5r880ZtbCOL7uStLhyl/wBXvfwd/DkfouKYMMg5B8qzr4jwLtLdWak2cgvLOP60Mo03Vsg+xKq+IKvLvAHTb7Ir6bwHtpBchdzG7HT3cmA2rAbSMbHIIII2IIIp8KzWlTR8Hwfvl9zOlQkldbfVdVwNnbC7KW+32mC+2Cx/KqR3mBVs7dPmKIDfMn5Kf61S2fJ/L+v+fzrnu01mxLvwS/f5NDCq1JGwHO52Hl196yY7D8htUdWwQCd9zjn15kDl6D51k8oPUfMbfjWa46l2xOEgFb4p8D8a5ka+/r/c1PgiJ51BNKIxrmewx5OTV07OXIMQXPiXp6E7GqvpGBipNnIyHWDjHL19Ph51LgsY8NWz2utn0K1ePeRsXWlR7C7EiBht5j1H51Iru4TjOKlHZmQ007MUpSniCtc8ulSx6DNbK5vG5cIB5n8qr4qt3NGVTkvrwHQjmkkcCa+bUSCedZR8YcVBc71hg155GrUi7qT9TX7uLWqO7D2lI+sM107TjaPscqfJv61WrawY7mpkdoq8yPetfDdoYyFm3deP73K9SlT4FoBr2qtJxVo9LJnBzkNyZejY6b8jzPyrt8M4ssw22Yc1PP4jzFdFhe0aVeWTaXLn0Kk6Moq/AnUpStIhMZHABJ5AZPtXyDt7xiVpkPMFdSxA9SMxKzfZ33OPETnH2TX0rtFLlBEDgyHBxz07Z+fL518glcy8XjyPCtzGpzyxHKJG9sIfZay6lXvcUqK2irvq9vS9zW7Pp2Uqr4Rk/RfsjcbnlieWNJWWGEC11BtBk7gt3jtjc6pmlY7+Wc4pdWhjhgtm5yKt5cjqWkyIIT6JGCxH3nzXAfi6zLpOrMhJJI2/WsWP4savnFrQzcTuzsFWRVLclVY4IQd+mN/xq7rq37RqaQ7qlpZLM/F6JX822diYQy2kU80BnaFdBQDU2cqpIXODsA2/Lelrb23D7sEYhW7j8OrYRvGQSu/1QwcbHbKY6iqpc9vJVuli4eFaPGjLjKyt1k5gqqjO+RsCTtjGrtFxCMskt5ruZJE1xRI3cRRwknSxwCxZ8atI5AjJNc8+zameVPN/jd+L2eqVttHx4kcMPOTyu9nfTjzWj0Vt9bFl7XcUFvZIr3Cz3SyJJC4ChsrJnUVQ7DRlT55x1rRxXtc0MouUs7gLJCI5RKjRxMRvGQxByV1Ou43BHlVe4AiP3kljazfSFAVASssURY7yq7BcOFBADZ3ORyqu3XG7u0nbW8qTDd0lLEOD0dW2kRvcGpaXZ9D5JPM9W+G9uC2Wl0uG5JHDwV1LdX0bs3fhZXsvHXUizsC7Mq6VJJCjJCgnYZPMDlXdsO0R4dEmhw4mbNzbSYkhMeBvoPJ8dQd8b52rTxeJYGcomRII5I03bwzIkoTzIAYj2qGnZWR0aa4zEgOorjxHf15CtfNl8i9iHTxNFRto0mr+K+6JvFjJb8XSKSeSO2EqyQSxHHdwzbxvFqyFjGQCBthGFbOGX12t7PBNGJBGZO8SNVTuzHJqDxY+rhmyBuMSttg1leOl3w+N8ZNnJ9GbUMt9Gn8UJP7rgxj41hxW6YS2V6rENLEqTY+29q30eXP7yd2f46Sus9OUV19+Zh0sPK8Xu9YdHHVeq2Lib7vACu4xq5FfrahgjoRjcViIC+BrCDbUSupvlkYx5f0rOztgtxPEDlPrLzzqCox3Oc5Bb2QVMNtiuSnJU7ZduBOpIhjhY5FmZQdsAIDjrgYqTFbxr5j4ISfn/es+68mI9/5HatxtJwBgqwPI4XPTqDioXUct2DlwbNaaM7ayPM+HHqRvUqNSdhufTl/at1rwY85WJ/ZUBc/E88fKumsSgbKFUcgKiccxBOouGpEhtORb5A598/yHzrKTBbHt8MbV0oI85OOgx71ruXUfGmzo/DmvYgz3Z2OE3iunhUqFwADjOMelTq43AB9bywP512a7ns+rKrh4zlv/AGZ1VWm0hSlKvEYqv8bny5UdAB7nf+lWA1T57vVKxH3mPw6AVg9u1slGMOb+i9os4aN5N8j2LhhP1tvzqUYFjHLJ9fWtcF4TnI/vXs045kc/5VzMO7jG8d+bLbzN6gsx/wAxUW6kVSNe/XSOvxPQV7Je/lXLnlyST/mKbKSfiSQgZXF+ZG3wANgByHKkM7IwZTgjkR/m9c+FiR9VjnJ2BrausjZGPpj+XOlcZZrrcsOCWhd+Edoo5gATpc/Z6HH3T1+HOutmvmYhJ5B1/f0jHr0b8K7/AA/jVwsZQlHII0yEnZf2/vMTkDHxPr0mE7XVstfdcV+VzM+thEtYPyI3afjircFSAwVWOcnbu8Mfh4sD2PlXza1tZtTzOCv6m8lGrYlzCyBj5DVOOfmKtvH+FOzrozIzKEdUIGohmkADucIram1HduQHPavxXH0q5iieTV3qzQ4VTHEpnhkATGA0oEgj8T4BIGFHMydnSjUqTq8W15b/APnkXUnHDTjBX+HXpx9TnDs/3SGTR3ixspcxsugJE6s6iZsRliqnwqWOTyrztVLJ31xFPOiM07M0EIkkLGQLIuWwoYAMqDJ+xnArRB2euLtA0zaE0BRJM+EQAacKCdscsAAbVO7X3mordRFQbmCJ3cY1LJFpt5Y1bmN9B25jNattC9VlbFQk5J3i1ptz48zh9+lsskaDLuoVnYAMin60S6WIBIxqPMbr51NvI/pVrHMm8ltGIZ0H1u7Unu5wOqgHQ3kVB5Gq2KmWXF2gYSRsUkX6rLsf7g9Qdj1ocLarcv5ZRipLff8Ar31PpvYCcycMeK1kSO5VmJLDVgswIcr1BXw5weXpXN/StYrczWVupVrnxd4w2CRlVLO/3V2Z8HkAaqS8Wt5m1yo9rL/51psh9WhJGn10MB6VpvuJRQRPFby97JMP11wQynRnIhQN4hnALnrsOQOciHZ2TFd/m0u3a2t3wvvYx6lCUqjdmm3pdaa8b7W8N+FkaOK9q5jO7QvoUaUQqqg6IlEaYJGR4VHzqFccakk3eR2P7bMw9vL5VO7N9iLq+BeFVEYODJI2lc+Q2JY/AVzuP8EktJWilXDrjIByNxkMp6gitCNWlKbgms3FcS3SnGKyRd7K2vJHe4ENNlfzyNiN0jtUC4PeTmRJ16DARUJJ8nON62yXIXh8ZPS8nVGO2Fa1hMnPk2dOOeSahMzLwmCM+EzXks8ecDKQwpAx383Ygeeg10eI8DZrDh0WyLomupHPUzyAIFA5nu0BxywRkjIqWVkteX3KPeu+bnUv5QVvyfS+wUyO80rABHBdNWwWMBEGS3LbPPzrmcf7RWkLlYZO9Gd1j30+gc+E+xPUetUTifaGMjRqd+SrGhOjC7ABV2PTmWNRxxFlAzaS9ACYjuTsBuu59Ky/9LGdJQnHbbh703K+qnmuWt+2+P8ATtxnzkcsfkoAHtXidt7n7Kwj+Fj+JequeORhgskbRkgEB1aM4PIjpj2xU+F1cZRh8CR+B5H8KjeDpQ/h+Rd9ywR9urgblIm/51/ma63Du26OcTRPH6riRfwwR8qpYBB3Hzrp8PuFyM1FLCUpcBGi/HjauP1RBHmN/wD8rQHJO9RbKwicZGVb7ynB/vW1o2iIEm69JAMD+MDl8Rt8KzsV2fUtni8yEhOOxa+CcmPwH511Aa4vDJNK/E5/KunHLmul7Oklh4LwM+qvibJFKxBrKtMhNc8mlSQCcDOBzNVFo9tvPJ8h8T0FXE1T71dyPJj+ZrmO346Qb21/BcwvFGozdF/z4dcVoZqxLYrJ2BGR/hxXL2uX0rGuTl8ah3G4x57e3X/PWpLHn7/kTUdtIGosdvCABkk7En4dKmgiWJ7HmpI0qmWIyTsOZPwFRfppwFjjXV1kk8XsqcvnmtUkug+Il5W6baj7DZF+QqR07/oXK2SZ5SEzIdMbEYRfrSFTkLtuwz0G3xrAzfPmB0HLHL/OXlWqOI/WfdsY9FH3V9Pzrag3/H5DNDtsFkjEvIHUrg6dyDkk8htjmefx3xXzrjcUtrdiRZI2MbLPHhtOQG71QQeZ25DPOvolx3isrgZVsrg4UMRvgMdlYDodiM7jGaq/6QOFCRUuIwQyELOh2YKx8LkeWSVyMg5GDWr2ZVdKqovaS/tf11JqElmyPaSsSe0VwiXDhYWuI5QJ7ddjbqJf1kpDfVciRiMjkGA+MKyjM0cljc90jzsZ7TSyExXATZGCk6UlAx8SdssMZ9nJI7i2HD7ohAZC1nPsTFK+ToZesbsSB56yu3gNVvi/ARBrEjIk6MFeLxB8jGHQgfVIwyttkYPPaune+ZDY080HhpO04/K+dtpL8/s5k0TISjgqykqysMMrDmpHQivovYjhEF3wuaJlRH1lGlCKXAykikk4O2459K4C8at75FW9JhuVAVb1V1LIo2C3aDBJHLvB743B6PBI7nhDSNJD9ItJgCZYT3kTAZw4YDw7EghgAc8ziqnaFKpVof4vmTTXkOrYhygqU1lqLXXZ25N7+Znffo4gxbyW9wZIJJo4pGyhwHfRqRl25+HGOZFXqHg8Ot7U2KLarEG706NDMTgpj62oDJ1k52+Br5h2o7cpPAtvbRCCAMGwCNRIOoY07KM79TnG9cbiPbe8li7mW5coRgr4VLDyZgAzD0J3rIng8ViIxzztZvfdLg/h0bG1MPXqRTm/X+i+cO4xFFwde7mVe5uT3fjCtIiXgflnLZjO/nXI7UQRcX4gv0ZyIkiU3E7qVSKON3YyHVjpsM4yR5AkV7g/Y6SRe9mItbfmZ5hpyPKNDhpCenIep5Vu4/2ijMH0OyRo7bILs3+tcuMYeXH2c4wnw2GyjSoYGFGo6rbvdv1sV8qcnGg80tbv+MU/Hi+Rp4vex3dxqUFLS3RY4hnSwgjOFGejyHUxPPxeYru8A7LzcSPeTs8VsqrojG0kickA6RoQBjPTkDzqBwvsqyTQW87HLkzTRAZZRHF3ixnoSPCGGOZI6E1e4py6DEjGJcpjUcSvks5wDjulY6VX9jmRgVYqTebQgnJWShslp+/M3WFnb2mRa28aEFcSDDuRjLBpWBYknH1TjIOKmSdoZsOMKQwIGScjJ5kjnsSNsDqPXnGStTS5qvlT1epFZEm+4krxlHtw6kY0ERyLtnde8xpPXl8CNscG77G20+s2Ae3lQM2klmjcA4CtExZ1zzDAEc+ddPUaxJ3B5EHIYcwfQ/5mnLTYUpzXckUn0e7QxSAbZ5MPNDydfLBPp5VI16Tzz6irt3EV7Abe6VZDqyp2RlGM95ERuGUDdVxsM43xVF4pwOawkCSkywOdMU+w3IJCuMnDbH44+SWT6+9h8ZcGd3hvGCvWrNb8Z1rg7188R8GuhBfkUiElFMvvC+Kd2wRj+rJwpP2PT938qtsBr5IL/I51fuw/Ge/iKN9eLA+KH6p9sEew86mo/NYr1Y6XLSlZ1iorOtJFQVU+KrplcHzyPgd6tlabi0VxhlB/zoelZ3aOCeLpqKdmiWjUyO7KmvDmceHSf4gPzrS/C5EO+nHow/pjNdO+4Q8ILIxZOePtD+RFao21rnOf5fGuOq4d4eXdzi83XR9C+qjaunocw8PcnbQPIF9/wFevweUgY0EDJ5t/9antCfMj4bVrKY6k/Ek1EnbdEmdnMk4NN5hR+zufmf7VnYcGCE6gSSPIgfPPOp5nx1rw3nrS95wT+wuebViObAZy5x6DA9gAKwkt0IIQHUWVFySSdZ0n09aSOmSS3tjJz5eVdXhMa5EuMADwA88nYufbYehPpUuEoSr1VDhxfgJObgrs678HjaDuWGVxz66ueseRzvVC4/whd4LlcjGUkXKtj76HoeWV3GeYIq9NxCudxQxzJpcZ6g/aU+anoa6rFYenVismko7NFOjUlB67e9T43x3s7Lapqz3tudu8AxpztiVRsp9R4T0xyrZBxyG7RYuIFtSjTFer4pEH3Zh9tPXfzIBy9Wtr94HMbHGcjO2l1PodsEc1rjcT7Mxyv3luVgbH+mB+pZhyI3/Vk+W4+G9QYfHSp/BXXnwfX+voa8pxrRSq3uvlkvmX799Th8R7HzW+HIEsB3S4g/WQkebacmP32/aNZcI4nJbjNtO8eTk92wKE+qHKE+uM17Bd3di+V7yBjudG6N6shBR/3se9SZu2ccu9zZWs7dZFHcye5wxPzFad1U+KMrfX6om7zEOFpwjWjzVk/NPS/QwuO3cuf1ttY3B+9LbLqPxKsPyrRJ+kedf9C3srY/eht1D/ADYkD5V7/wBJ8MPOznHos7Y/GSsLftDYxEsnDg5+z38pkA9SrBhUuZ8ynKlSfy4WV/HRff8AByora94nNt3tzJnGonKpnzY4SMfKrIv0Xg7eLF1fqM/8C3Y8vUuOf3v3M5PO/wCs1/chkgJROq24ESKD9nXnI/5hUrhPA47ddUoR5TvuAyp6LnYnqT8vM1auIhT21kNnGdstS0Y/8IvV9X+iZ2Mumm4lFLOxLmCaUtybUQMlQMAHSTgflXdsE0xRoOSqAPlXI7Oz6eJwNjJdJ0xvhmKiQasZ28B+XwrtqMYHkAOedwME56753qFtuzfvcru19DYEycVjJIBsK2hsKahHc0CGZlrAvWDSkHcUbfcUgtjIPv8ADceYI3BHka6FtaRXNu1vJkg6tagamcPp0OhLeF1bHLwhgDtkA8rVWcV53TpJ0RsttnwHZtuuBuPVRQ1cQqMcTxmWCX/VtmKE/fTmrjzBGG96yWarN274R3R+ljGUKB8Z8cD4UPksdelzzHIPjkBVSuU0N6Eal+Bz+W49qctdRU7onxXFWvsNxHu7yLykzEf4uX+4CqNDNXX4XdaXRvuurfJgaX5WmMkrqx9+Fe0pWqZwpSlAGqflVUvUMT6o9h1HT4Y8vyq2yrtVb4lHg1j9qUFVgr8NnyLWHlZmk8TUryOfKoklyfLFR5BivC1cfWjNStI0IxXANJWl5a9dqiXN0F2HP8qKVJzdkS6I3oRq8W/p5+ldBuKGuHASa6EFqTXSYakqMcq8yrUeZ3ZK+mk1qknNS4eGmpA4UfKrWSTIrpFeu49YwwyPWuS9mV+rnHkauzcHqPJwLNRywzkPjWsVPvWxg7jyYB19wfz51BuIYTnVGuemwZf93jX5mrm3Z2sD2bNMhgpJ6Du/Sdyhtwu0P/g/J3A/+VeJw+3U+G3U/van/BiRV8Xsv6VLg7LjyqzHCzfzSfqxssXJq2Z+rKGFkbZVCjoAMAfADapln2eZjk5NX+Ds8o6V0YOFgdKs08LGGxWlWufKO09h9De2uSPCkis3wVgH/wBjt8q7fFrfQ745aiR+63iGPTc1aO3HAlnspVI3VTIP4QdQ/wCUt+FU7hV0Z7CJidTQ5hkPpGAEf08Ok49WNR145WS05ZlcxWbIxWBPIitLCgkqElsZO2axjasGNeA0CnrNXhasGNeUoHdsCs1iYpCrApLEQwAJIDRjDY3cgYAyDvnfGa+bMD3Cajlo2aFiORKkjI91z719F7LTsRIiZysgJ3AXEoRTnIO5x7etfPFkBhuCAQDcNpHLH6xuY6baqIXu+oljREd67vC4dRUeZA+ZArjW0dXfsXw7XcRE8lYOf4PEPxAqZq7sMbsrn2QV7WCNWdaRnClKUAeGubxC1zXTrF0zUdSCmrMdGVmU66s650gI2PLz/rV0ubEGuRdcLz0rAxWBzaF6nWKjecQx4U59T/Stdnw9nPKrHH2aXVnFde24aF6U7D4RQVoofOsjjWPBsV27bhwFTYrepSR1p06CRUnUbNMVqBW4QCtgFZVbUUiBtmkwCsfo4qRSlyoLkf6OK8+jipGKYpbBc0C3FZCGtuKYosFzAJWQWsqUohou7YOjIeTKyn4MCD+dfJU4Hd8Jk1sguLaQKk2jJbCk4k048Jx0OQcYzyNfYa8IqKpSU1qSQqOHQ+SR2qSgvbSCRNmEZyJUVs4yDzXbruOvpEZPnjOOuPPHlX0Ti/YG0nOvuhHJnV3kYCNknckAYbPXI3qucY7K3cekhY71BtuO5uFGc+F1OC253x7GqM8POO2pbjWiytFa8IrJmUMo1GJsHVDdZWQEA8pNIB5ep3FbriBk2ZHXbOdLFcDO+sArjY756VC9Ca5FxXjVnbyo2cMp+BFYR2xuHMcYZ1UFpjHuVQDOgMNhI+ygcxknpSinR7OXRhtrm4ycLqmAA2ZY4m0lj+8uPPB9a+fW+VhRDzYmQj1JP82Pyq6dteIFnjs48RxKiSXAB8AUHMUPmAMamzz8O2OdSkk7yVn6E4X0UbD3xufUmnwWl+ev6GX4kzh1tkivoHZeMI23MbH0zg/0qmWkoiXUdz9lfM+fwq3di4iU1nm5LE/h/KpaesiKpsfRbOXIqWDUCyTAqeKvopM9pSlKIKUpQB4RWtoQa20pGkwIpgr1Y6kEUApmRDsxgqVnivaU9IaKUpSgKUpQApSlAClKUAKUpQApSlACvMV7SgCDxLgsNwumaNJBy8Q3HwPMe1VK67CT24P0C4ZV3/7PMdUe++FbGV9Mg8981e6UyUIy3Hxm47Hx+94q1u6m74eNQbJdNGDkEeE4AbfpnODua8ve2UPdYhjZnyGVJEEaKdLAsTG3ixqyAADknxYOa+t3FqrgqyhgeYIBB9jVV4t+ja3kBMX6pumndeWPqnYe2KqSwttYliNdPc+M8QvvE6k6nY6pXPNnbxHA6Ly5bYAA2FREvdPLnV64n+hm6eVmSaHBxzEmQQANsDltXU4J+hdEIaeQzH7oGiP3G5b3PtTo0tNR7rRKb2b4NJdSZOe7H1n8/wBlfX8q+vcH4ToAAGAAAB8K6VjwKOJQqqAAMAAAAD0A5V0UhAqaFOxWnUzGMUeK3CvMV7UxEKUpQApSlAClKUAKUpQApSlAClKUAKUpQApSlAClKUAKUpQApSlAClKUAKUpQApSlADFeYr2lAClKUAKUpQB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4791075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pply@caribbeanps.com.gt%20/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87"/>
  <sheetViews>
    <sheetView tabSelected="1" workbookViewId="0">
      <selection activeCell="H12" sqref="H12"/>
    </sheetView>
  </sheetViews>
  <sheetFormatPr defaultColWidth="27.42578125" defaultRowHeight="15"/>
  <cols>
    <col min="1" max="1" width="5.140625" style="57" customWidth="1"/>
    <col min="2" max="2" width="23.28515625" style="57" bestFit="1" customWidth="1"/>
    <col min="3" max="3" width="65.140625" style="57" bestFit="1" customWidth="1"/>
    <col min="4" max="4" width="11" style="57" bestFit="1" customWidth="1"/>
    <col min="5" max="5" width="10" style="57" bestFit="1" customWidth="1"/>
    <col min="6" max="6" width="17.85546875" style="57" bestFit="1" customWidth="1"/>
    <col min="7" max="7" width="10.140625" style="57" bestFit="1" customWidth="1"/>
    <col min="8" max="9" width="27.42578125" style="57"/>
    <col min="10" max="10" width="4.5703125" style="57" bestFit="1" customWidth="1"/>
    <col min="11" max="16384" width="27.42578125" style="57"/>
  </cols>
  <sheetData>
    <row r="1" spans="1:7">
      <c r="A1" s="91" t="s">
        <v>653</v>
      </c>
      <c r="B1" s="92"/>
      <c r="C1" s="92"/>
      <c r="D1" s="92"/>
      <c r="E1" s="92"/>
      <c r="F1" s="92"/>
      <c r="G1" s="93"/>
    </row>
    <row r="2" spans="1:7">
      <c r="A2" s="94"/>
      <c r="B2" s="95"/>
      <c r="C2" s="95"/>
      <c r="D2" s="95"/>
      <c r="E2" s="95"/>
      <c r="F2" s="95"/>
      <c r="G2" s="96"/>
    </row>
    <row r="3" spans="1:7" ht="15" customHeight="1">
      <c r="A3" s="94"/>
      <c r="B3" s="95"/>
      <c r="C3" s="95"/>
      <c r="D3" s="95"/>
      <c r="E3" s="95"/>
      <c r="F3" s="95"/>
      <c r="G3" s="96"/>
    </row>
    <row r="4" spans="1:7" ht="15.75" customHeight="1">
      <c r="A4" s="88" t="s">
        <v>26</v>
      </c>
      <c r="B4" s="89"/>
      <c r="C4" s="89"/>
      <c r="D4" s="89"/>
      <c r="E4" s="89"/>
      <c r="F4" s="89"/>
      <c r="G4" s="90"/>
    </row>
    <row r="5" spans="1:7" ht="12" customHeight="1">
      <c r="A5" s="85" t="s">
        <v>139</v>
      </c>
      <c r="B5" s="86"/>
      <c r="C5" s="86"/>
      <c r="D5" s="86"/>
      <c r="E5" s="86"/>
      <c r="F5" s="86"/>
      <c r="G5" s="87"/>
    </row>
    <row r="6" spans="1:7" ht="15" customHeight="1">
      <c r="A6" s="82" t="s">
        <v>138</v>
      </c>
      <c r="B6" s="83"/>
      <c r="C6" s="83"/>
      <c r="D6" s="83"/>
      <c r="E6" s="83"/>
      <c r="F6" s="83"/>
      <c r="G6" s="84"/>
    </row>
    <row r="7" spans="1:7" ht="15.75" customHeight="1">
      <c r="A7" s="79" t="s">
        <v>141</v>
      </c>
      <c r="B7" s="80"/>
      <c r="C7" s="80"/>
      <c r="D7" s="80"/>
      <c r="E7" s="80"/>
      <c r="F7" s="80"/>
      <c r="G7" s="81"/>
    </row>
    <row r="8" spans="1:7" ht="16.5" customHeight="1" thickBot="1">
      <c r="A8" s="13"/>
      <c r="B8" s="14"/>
      <c r="C8" s="14"/>
      <c r="D8" s="14"/>
      <c r="E8" s="14"/>
      <c r="F8" s="14"/>
      <c r="G8" s="15"/>
    </row>
    <row r="9" spans="1:7" s="61" customFormat="1">
      <c r="A9" s="73" t="s">
        <v>654</v>
      </c>
      <c r="B9" s="74"/>
      <c r="C9" s="74"/>
      <c r="D9" s="74"/>
      <c r="E9" s="74"/>
      <c r="F9" s="74"/>
      <c r="G9" s="75"/>
    </row>
    <row r="10" spans="1:7" s="61" customFormat="1" ht="6" customHeight="1">
      <c r="A10" s="76"/>
      <c r="B10" s="77"/>
      <c r="C10" s="77"/>
      <c r="D10" s="77"/>
      <c r="E10" s="77"/>
      <c r="F10" s="77"/>
      <c r="G10" s="78"/>
    </row>
    <row r="11" spans="1:7" s="61" customFormat="1" ht="21" customHeight="1">
      <c r="A11" s="62" t="s">
        <v>19</v>
      </c>
      <c r="B11" s="63" t="s">
        <v>23</v>
      </c>
      <c r="C11" s="63" t="s">
        <v>24</v>
      </c>
      <c r="D11" s="63" t="s">
        <v>108</v>
      </c>
      <c r="E11" s="63" t="s">
        <v>0</v>
      </c>
      <c r="F11" s="63" t="s">
        <v>1</v>
      </c>
      <c r="G11" s="64" t="s">
        <v>4</v>
      </c>
    </row>
    <row r="12" spans="1:7" s="61" customFormat="1">
      <c r="A12" s="65">
        <v>1</v>
      </c>
      <c r="B12" s="66" t="s">
        <v>635</v>
      </c>
      <c r="C12" s="67" t="s">
        <v>564</v>
      </c>
      <c r="D12" s="68" t="s">
        <v>108</v>
      </c>
      <c r="E12" s="68"/>
      <c r="F12" s="69">
        <v>5.4</v>
      </c>
      <c r="G12" s="69">
        <f>E12*F12</f>
        <v>0</v>
      </c>
    </row>
    <row r="13" spans="1:7" s="61" customFormat="1">
      <c r="A13" s="65">
        <v>2</v>
      </c>
      <c r="B13" s="66" t="s">
        <v>635</v>
      </c>
      <c r="C13" s="67" t="s">
        <v>565</v>
      </c>
      <c r="D13" s="68" t="s">
        <v>108</v>
      </c>
      <c r="E13" s="68"/>
      <c r="F13" s="69">
        <v>19.2</v>
      </c>
      <c r="G13" s="69">
        <f t="shared" ref="G13:G20" si="0">E13*F13</f>
        <v>0</v>
      </c>
    </row>
    <row r="14" spans="1:7" s="61" customFormat="1">
      <c r="A14" s="65">
        <v>3</v>
      </c>
      <c r="B14" s="66" t="s">
        <v>635</v>
      </c>
      <c r="C14" s="67" t="s">
        <v>143</v>
      </c>
      <c r="D14" s="68" t="s">
        <v>108</v>
      </c>
      <c r="E14" s="68">
        <v>30</v>
      </c>
      <c r="F14" s="69">
        <v>5.2</v>
      </c>
      <c r="G14" s="69">
        <f t="shared" si="0"/>
        <v>156</v>
      </c>
    </row>
    <row r="15" spans="1:7" s="61" customFormat="1">
      <c r="A15" s="65">
        <v>4</v>
      </c>
      <c r="B15" s="66" t="s">
        <v>635</v>
      </c>
      <c r="C15" s="67" t="s">
        <v>566</v>
      </c>
      <c r="D15" s="68" t="s">
        <v>108</v>
      </c>
      <c r="E15" s="68"/>
      <c r="F15" s="69">
        <v>10.1</v>
      </c>
      <c r="G15" s="69">
        <f t="shared" si="0"/>
        <v>0</v>
      </c>
    </row>
    <row r="16" spans="1:7" s="61" customFormat="1">
      <c r="A16" s="65">
        <v>5</v>
      </c>
      <c r="B16" s="66" t="s">
        <v>635</v>
      </c>
      <c r="C16" s="67" t="s">
        <v>144</v>
      </c>
      <c r="D16" s="68" t="s">
        <v>108</v>
      </c>
      <c r="E16" s="68"/>
      <c r="F16" s="69">
        <v>24.1</v>
      </c>
      <c r="G16" s="69">
        <f t="shared" si="0"/>
        <v>0</v>
      </c>
    </row>
    <row r="17" spans="1:7" s="61" customFormat="1">
      <c r="A17" s="65">
        <v>6</v>
      </c>
      <c r="B17" s="66" t="s">
        <v>635</v>
      </c>
      <c r="C17" s="67" t="s">
        <v>567</v>
      </c>
      <c r="D17" s="68" t="s">
        <v>108</v>
      </c>
      <c r="E17" s="68"/>
      <c r="F17" s="69">
        <v>7.55</v>
      </c>
      <c r="G17" s="69">
        <f t="shared" si="0"/>
        <v>0</v>
      </c>
    </row>
    <row r="18" spans="1:7" s="61" customFormat="1">
      <c r="A18" s="65">
        <v>7</v>
      </c>
      <c r="B18" s="66" t="s">
        <v>635</v>
      </c>
      <c r="C18" s="67" t="s">
        <v>568</v>
      </c>
      <c r="D18" s="68" t="s">
        <v>108</v>
      </c>
      <c r="E18" s="68"/>
      <c r="F18" s="69">
        <v>6.05</v>
      </c>
      <c r="G18" s="69">
        <f t="shared" si="0"/>
        <v>0</v>
      </c>
    </row>
    <row r="19" spans="1:7" s="61" customFormat="1">
      <c r="A19" s="65">
        <v>8</v>
      </c>
      <c r="B19" s="66" t="s">
        <v>635</v>
      </c>
      <c r="C19" s="67" t="s">
        <v>569</v>
      </c>
      <c r="D19" s="68" t="s">
        <v>108</v>
      </c>
      <c r="E19" s="68"/>
      <c r="F19" s="69">
        <v>4.8</v>
      </c>
      <c r="G19" s="69">
        <f t="shared" si="0"/>
        <v>0</v>
      </c>
    </row>
    <row r="20" spans="1:7" s="61" customFormat="1">
      <c r="A20" s="65">
        <v>9</v>
      </c>
      <c r="B20" s="66" t="s">
        <v>635</v>
      </c>
      <c r="C20" s="67" t="s">
        <v>570</v>
      </c>
      <c r="D20" s="68" t="s">
        <v>108</v>
      </c>
      <c r="E20" s="68"/>
      <c r="F20" s="69">
        <v>10.7</v>
      </c>
      <c r="G20" s="69">
        <f t="shared" si="0"/>
        <v>0</v>
      </c>
    </row>
    <row r="21" spans="1:7" s="61" customFormat="1">
      <c r="A21" s="65">
        <v>10</v>
      </c>
      <c r="B21" s="66" t="s">
        <v>635</v>
      </c>
      <c r="C21" s="67" t="s">
        <v>571</v>
      </c>
      <c r="D21" s="68" t="s">
        <v>108</v>
      </c>
      <c r="E21" s="68"/>
      <c r="F21" s="69">
        <v>7.55</v>
      </c>
      <c r="G21" s="69">
        <f t="shared" ref="G21:G23" si="1">E21*F21</f>
        <v>0</v>
      </c>
    </row>
    <row r="22" spans="1:7" s="61" customFormat="1">
      <c r="A22" s="65">
        <v>11</v>
      </c>
      <c r="B22" s="66" t="s">
        <v>636</v>
      </c>
      <c r="C22" s="67" t="s">
        <v>572</v>
      </c>
      <c r="D22" s="68" t="s">
        <v>108</v>
      </c>
      <c r="E22" s="68"/>
      <c r="F22" s="69">
        <v>8.15</v>
      </c>
      <c r="G22" s="69">
        <f t="shared" si="1"/>
        <v>0</v>
      </c>
    </row>
    <row r="23" spans="1:7" s="61" customFormat="1">
      <c r="A23" s="65">
        <v>12</v>
      </c>
      <c r="B23" s="66" t="s">
        <v>636</v>
      </c>
      <c r="C23" s="67" t="s">
        <v>573</v>
      </c>
      <c r="D23" s="68" t="s">
        <v>108</v>
      </c>
      <c r="E23" s="68">
        <v>80</v>
      </c>
      <c r="F23" s="69">
        <v>7.55</v>
      </c>
      <c r="G23" s="69">
        <f t="shared" si="1"/>
        <v>604</v>
      </c>
    </row>
    <row r="24" spans="1:7" s="61" customFormat="1">
      <c r="A24" s="65">
        <v>13</v>
      </c>
      <c r="B24" s="66" t="s">
        <v>636</v>
      </c>
      <c r="C24" s="67" t="s">
        <v>574</v>
      </c>
      <c r="D24" s="68" t="s">
        <v>108</v>
      </c>
      <c r="E24" s="68"/>
      <c r="F24" s="69">
        <v>8.35</v>
      </c>
      <c r="G24" s="69">
        <f t="shared" ref="G24:G28" si="2">E24*F24</f>
        <v>0</v>
      </c>
    </row>
    <row r="25" spans="1:7" s="61" customFormat="1">
      <c r="A25" s="65">
        <v>14</v>
      </c>
      <c r="B25" s="66" t="s">
        <v>636</v>
      </c>
      <c r="C25" s="67" t="s">
        <v>575</v>
      </c>
      <c r="D25" s="68" t="s">
        <v>108</v>
      </c>
      <c r="E25" s="68"/>
      <c r="F25" s="69">
        <v>15.9</v>
      </c>
      <c r="G25" s="69">
        <f t="shared" si="2"/>
        <v>0</v>
      </c>
    </row>
    <row r="26" spans="1:7" s="61" customFormat="1">
      <c r="A26" s="65">
        <v>15</v>
      </c>
      <c r="B26" s="66" t="s">
        <v>644</v>
      </c>
      <c r="C26" s="67" t="s">
        <v>145</v>
      </c>
      <c r="D26" s="68" t="s">
        <v>108</v>
      </c>
      <c r="E26" s="68"/>
      <c r="F26" s="69">
        <v>1.8</v>
      </c>
      <c r="G26" s="69">
        <f t="shared" si="2"/>
        <v>0</v>
      </c>
    </row>
    <row r="27" spans="1:7" s="61" customFormat="1">
      <c r="A27" s="65">
        <v>16</v>
      </c>
      <c r="B27" s="66" t="s">
        <v>640</v>
      </c>
      <c r="C27" s="67" t="s">
        <v>146</v>
      </c>
      <c r="D27" s="68" t="s">
        <v>108</v>
      </c>
      <c r="E27" s="68"/>
      <c r="F27" s="69">
        <v>7.9</v>
      </c>
      <c r="G27" s="69">
        <f t="shared" si="2"/>
        <v>0</v>
      </c>
    </row>
    <row r="28" spans="1:7" s="61" customFormat="1">
      <c r="A28" s="65">
        <v>17</v>
      </c>
      <c r="B28" s="66" t="s">
        <v>638</v>
      </c>
      <c r="C28" s="67" t="s">
        <v>561</v>
      </c>
      <c r="D28" s="68" t="s">
        <v>108</v>
      </c>
      <c r="E28" s="68">
        <v>720</v>
      </c>
      <c r="F28" s="69">
        <v>0.3</v>
      </c>
      <c r="G28" s="69">
        <f t="shared" si="2"/>
        <v>216</v>
      </c>
    </row>
    <row r="29" spans="1:7" s="61" customFormat="1">
      <c r="A29" s="65">
        <v>18</v>
      </c>
      <c r="B29" s="66" t="s">
        <v>641</v>
      </c>
      <c r="C29" s="67" t="s">
        <v>147</v>
      </c>
      <c r="D29" s="68" t="s">
        <v>108</v>
      </c>
      <c r="E29" s="68"/>
      <c r="F29" s="69">
        <v>10.15</v>
      </c>
      <c r="G29" s="69">
        <f t="shared" ref="G29:G38" si="3">E29*F29</f>
        <v>0</v>
      </c>
    </row>
    <row r="30" spans="1:7" s="61" customFormat="1">
      <c r="A30" s="65">
        <v>19</v>
      </c>
      <c r="B30" s="66" t="s">
        <v>641</v>
      </c>
      <c r="C30" s="65" t="s">
        <v>576</v>
      </c>
      <c r="D30" s="68" t="s">
        <v>108</v>
      </c>
      <c r="E30" s="68"/>
      <c r="F30" s="69">
        <v>3.85</v>
      </c>
      <c r="G30" s="69">
        <f t="shared" si="3"/>
        <v>0</v>
      </c>
    </row>
    <row r="31" spans="1:7" s="61" customFormat="1">
      <c r="A31" s="65">
        <v>20</v>
      </c>
      <c r="B31" s="66" t="s">
        <v>641</v>
      </c>
      <c r="C31" s="65" t="s">
        <v>577</v>
      </c>
      <c r="D31" s="68" t="s">
        <v>108</v>
      </c>
      <c r="E31" s="68"/>
      <c r="F31" s="69">
        <v>13</v>
      </c>
      <c r="G31" s="69">
        <f t="shared" si="3"/>
        <v>0</v>
      </c>
    </row>
    <row r="32" spans="1:7" s="61" customFormat="1">
      <c r="A32" s="65">
        <v>21</v>
      </c>
      <c r="B32" s="66" t="s">
        <v>641</v>
      </c>
      <c r="C32" s="65" t="s">
        <v>578</v>
      </c>
      <c r="D32" s="68" t="s">
        <v>108</v>
      </c>
      <c r="E32" s="68"/>
      <c r="F32" s="69">
        <v>6.5</v>
      </c>
      <c r="G32" s="69">
        <f t="shared" si="3"/>
        <v>0</v>
      </c>
    </row>
    <row r="33" spans="1:7" s="61" customFormat="1">
      <c r="A33" s="65">
        <v>22</v>
      </c>
      <c r="B33" s="66" t="s">
        <v>641</v>
      </c>
      <c r="C33" s="65" t="s">
        <v>579</v>
      </c>
      <c r="D33" s="68" t="s">
        <v>108</v>
      </c>
      <c r="E33" s="68"/>
      <c r="F33" s="69">
        <v>11.5</v>
      </c>
      <c r="G33" s="69">
        <f t="shared" si="3"/>
        <v>0</v>
      </c>
    </row>
    <row r="34" spans="1:7" s="61" customFormat="1">
      <c r="A34" s="65">
        <v>23</v>
      </c>
      <c r="B34" s="66" t="s">
        <v>641</v>
      </c>
      <c r="C34" s="65" t="s">
        <v>580</v>
      </c>
      <c r="D34" s="68" t="s">
        <v>108</v>
      </c>
      <c r="E34" s="68"/>
      <c r="F34" s="69">
        <v>9.0500000000000007</v>
      </c>
      <c r="G34" s="69">
        <f t="shared" si="3"/>
        <v>0</v>
      </c>
    </row>
    <row r="35" spans="1:7" s="61" customFormat="1">
      <c r="A35" s="65">
        <v>24</v>
      </c>
      <c r="B35" s="66" t="s">
        <v>639</v>
      </c>
      <c r="C35" s="65" t="s">
        <v>148</v>
      </c>
      <c r="D35" s="68" t="s">
        <v>108</v>
      </c>
      <c r="E35" s="68"/>
      <c r="F35" s="69">
        <v>25</v>
      </c>
      <c r="G35" s="69">
        <f t="shared" si="3"/>
        <v>0</v>
      </c>
    </row>
    <row r="36" spans="1:7" s="61" customFormat="1">
      <c r="A36" s="65">
        <v>25</v>
      </c>
      <c r="B36" s="66" t="s">
        <v>642</v>
      </c>
      <c r="C36" s="65" t="s">
        <v>149</v>
      </c>
      <c r="D36" s="68" t="s">
        <v>108</v>
      </c>
      <c r="E36" s="68"/>
      <c r="F36" s="69">
        <v>2.0499999999999998</v>
      </c>
      <c r="G36" s="69">
        <f t="shared" si="3"/>
        <v>0</v>
      </c>
    </row>
    <row r="37" spans="1:7" s="61" customFormat="1">
      <c r="A37" s="65">
        <v>26</v>
      </c>
      <c r="B37" s="66" t="s">
        <v>642</v>
      </c>
      <c r="C37" s="70" t="s">
        <v>150</v>
      </c>
      <c r="D37" s="68" t="s">
        <v>108</v>
      </c>
      <c r="E37" s="71"/>
      <c r="F37" s="69">
        <v>2.7</v>
      </c>
      <c r="G37" s="69">
        <f t="shared" si="3"/>
        <v>0</v>
      </c>
    </row>
    <row r="38" spans="1:7" s="61" customFormat="1">
      <c r="A38" s="65">
        <v>27</v>
      </c>
      <c r="B38" s="66" t="s">
        <v>642</v>
      </c>
      <c r="C38" s="67" t="s">
        <v>581</v>
      </c>
      <c r="D38" s="68" t="s">
        <v>108</v>
      </c>
      <c r="E38" s="68"/>
      <c r="F38" s="69">
        <v>2.7</v>
      </c>
      <c r="G38" s="69">
        <f t="shared" si="3"/>
        <v>0</v>
      </c>
    </row>
    <row r="39" spans="1:7" s="61" customFormat="1">
      <c r="A39" s="65">
        <v>28</v>
      </c>
      <c r="B39" s="66" t="s">
        <v>645</v>
      </c>
      <c r="C39" s="67" t="s">
        <v>151</v>
      </c>
      <c r="D39" s="68" t="s">
        <v>108</v>
      </c>
      <c r="E39" s="68"/>
      <c r="F39" s="69">
        <v>44.9</v>
      </c>
      <c r="G39" s="69">
        <f t="shared" ref="G39:G68" si="4">E39*F39</f>
        <v>0</v>
      </c>
    </row>
    <row r="40" spans="1:7" s="61" customFormat="1">
      <c r="A40" s="65">
        <v>29</v>
      </c>
      <c r="B40" s="66" t="s">
        <v>645</v>
      </c>
      <c r="C40" s="67" t="s">
        <v>152</v>
      </c>
      <c r="D40" s="68" t="s">
        <v>108</v>
      </c>
      <c r="E40" s="68"/>
      <c r="F40" s="69">
        <v>21.9</v>
      </c>
      <c r="G40" s="69">
        <f t="shared" si="4"/>
        <v>0</v>
      </c>
    </row>
    <row r="41" spans="1:7" s="61" customFormat="1">
      <c r="A41" s="65">
        <v>30</v>
      </c>
      <c r="B41" s="66" t="s">
        <v>645</v>
      </c>
      <c r="C41" s="67" t="s">
        <v>153</v>
      </c>
      <c r="D41" s="68" t="s">
        <v>108</v>
      </c>
      <c r="E41" s="68"/>
      <c r="F41" s="69">
        <v>18</v>
      </c>
      <c r="G41" s="69">
        <f t="shared" si="4"/>
        <v>0</v>
      </c>
    </row>
    <row r="42" spans="1:7" s="61" customFormat="1">
      <c r="A42" s="65">
        <v>31</v>
      </c>
      <c r="B42" s="66" t="s">
        <v>645</v>
      </c>
      <c r="C42" s="72" t="s">
        <v>154</v>
      </c>
      <c r="D42" s="68" t="s">
        <v>108</v>
      </c>
      <c r="E42" s="68"/>
      <c r="F42" s="69">
        <v>15</v>
      </c>
      <c r="G42" s="69">
        <f t="shared" si="4"/>
        <v>0</v>
      </c>
    </row>
    <row r="43" spans="1:7" s="61" customFormat="1">
      <c r="A43" s="65">
        <v>32</v>
      </c>
      <c r="B43" s="66" t="s">
        <v>646</v>
      </c>
      <c r="C43" s="67" t="s">
        <v>582</v>
      </c>
      <c r="D43" s="68" t="s">
        <v>108</v>
      </c>
      <c r="E43" s="68"/>
      <c r="F43" s="69">
        <v>9.3000000000000007</v>
      </c>
      <c r="G43" s="69">
        <f t="shared" si="4"/>
        <v>0</v>
      </c>
    </row>
    <row r="44" spans="1:7" s="61" customFormat="1">
      <c r="A44" s="65">
        <v>33</v>
      </c>
      <c r="B44" s="66" t="s">
        <v>646</v>
      </c>
      <c r="C44" s="67" t="s">
        <v>155</v>
      </c>
      <c r="D44" s="68" t="s">
        <v>108</v>
      </c>
      <c r="E44" s="68"/>
      <c r="F44" s="69">
        <v>7.6</v>
      </c>
      <c r="G44" s="69">
        <f t="shared" si="4"/>
        <v>0</v>
      </c>
    </row>
    <row r="45" spans="1:7" s="61" customFormat="1">
      <c r="A45" s="65">
        <v>34</v>
      </c>
      <c r="B45" s="66" t="s">
        <v>646</v>
      </c>
      <c r="C45" s="67" t="s">
        <v>156</v>
      </c>
      <c r="D45" s="68" t="s">
        <v>108</v>
      </c>
      <c r="E45" s="68"/>
      <c r="F45" s="69">
        <v>7.8</v>
      </c>
      <c r="G45" s="69">
        <f t="shared" si="4"/>
        <v>0</v>
      </c>
    </row>
    <row r="46" spans="1:7" s="61" customFormat="1">
      <c r="A46" s="65">
        <v>35</v>
      </c>
      <c r="B46" s="66" t="s">
        <v>646</v>
      </c>
      <c r="C46" s="67" t="s">
        <v>157</v>
      </c>
      <c r="D46" s="68" t="s">
        <v>108</v>
      </c>
      <c r="E46" s="68">
        <v>12</v>
      </c>
      <c r="F46" s="69">
        <v>11.8</v>
      </c>
      <c r="G46" s="69">
        <f t="shared" si="4"/>
        <v>141.60000000000002</v>
      </c>
    </row>
    <row r="47" spans="1:7" s="61" customFormat="1">
      <c r="A47" s="65">
        <v>36</v>
      </c>
      <c r="B47" s="66" t="s">
        <v>646</v>
      </c>
      <c r="C47" s="67" t="s">
        <v>158</v>
      </c>
      <c r="D47" s="68" t="s">
        <v>108</v>
      </c>
      <c r="E47" s="68"/>
      <c r="F47" s="69">
        <v>9.35</v>
      </c>
      <c r="G47" s="69">
        <f t="shared" si="4"/>
        <v>0</v>
      </c>
    </row>
    <row r="48" spans="1:7" s="61" customFormat="1">
      <c r="A48" s="65">
        <v>37</v>
      </c>
      <c r="B48" s="66" t="s">
        <v>646</v>
      </c>
      <c r="C48" s="67" t="s">
        <v>159</v>
      </c>
      <c r="D48" s="68" t="s">
        <v>108</v>
      </c>
      <c r="E48" s="68"/>
      <c r="F48" s="69">
        <v>12.8</v>
      </c>
      <c r="G48" s="69">
        <f t="shared" si="4"/>
        <v>0</v>
      </c>
    </row>
    <row r="49" spans="1:7" s="61" customFormat="1">
      <c r="A49" s="65">
        <v>38</v>
      </c>
      <c r="B49" s="66" t="s">
        <v>646</v>
      </c>
      <c r="C49" s="67" t="s">
        <v>583</v>
      </c>
      <c r="D49" s="68" t="s">
        <v>108</v>
      </c>
      <c r="E49" s="68"/>
      <c r="F49" s="69">
        <v>11.4</v>
      </c>
      <c r="G49" s="69">
        <f t="shared" si="4"/>
        <v>0</v>
      </c>
    </row>
    <row r="50" spans="1:7" s="61" customFormat="1">
      <c r="A50" s="65">
        <v>39</v>
      </c>
      <c r="B50" s="66" t="s">
        <v>584</v>
      </c>
      <c r="C50" s="67" t="s">
        <v>160</v>
      </c>
      <c r="D50" s="68" t="s">
        <v>108</v>
      </c>
      <c r="E50" s="68"/>
      <c r="F50" s="69">
        <v>8.1999999999999993</v>
      </c>
      <c r="G50" s="69">
        <f t="shared" si="4"/>
        <v>0</v>
      </c>
    </row>
    <row r="51" spans="1:7" s="61" customFormat="1" hidden="1">
      <c r="A51" s="65">
        <v>40</v>
      </c>
      <c r="B51" s="66" t="s">
        <v>584</v>
      </c>
      <c r="C51" s="67" t="s">
        <v>161</v>
      </c>
      <c r="D51" s="68" t="s">
        <v>108</v>
      </c>
      <c r="E51" s="68"/>
      <c r="F51" s="69"/>
      <c r="G51" s="69">
        <f t="shared" si="4"/>
        <v>0</v>
      </c>
    </row>
    <row r="52" spans="1:7" s="61" customFormat="1" hidden="1">
      <c r="A52" s="65">
        <v>41</v>
      </c>
      <c r="B52" s="66" t="s">
        <v>584</v>
      </c>
      <c r="C52" s="67" t="s">
        <v>162</v>
      </c>
      <c r="D52" s="68" t="s">
        <v>108</v>
      </c>
      <c r="E52" s="68"/>
      <c r="F52" s="69"/>
      <c r="G52" s="69">
        <f t="shared" si="4"/>
        <v>0</v>
      </c>
    </row>
    <row r="53" spans="1:7" s="61" customFormat="1" hidden="1">
      <c r="A53" s="65">
        <v>42</v>
      </c>
      <c r="B53" s="66" t="s">
        <v>584</v>
      </c>
      <c r="C53" s="67" t="s">
        <v>163</v>
      </c>
      <c r="D53" s="68" t="s">
        <v>108</v>
      </c>
      <c r="E53" s="68"/>
      <c r="F53" s="69"/>
      <c r="G53" s="69">
        <f t="shared" si="4"/>
        <v>0</v>
      </c>
    </row>
    <row r="54" spans="1:7" s="61" customFormat="1" hidden="1">
      <c r="A54" s="65">
        <v>43</v>
      </c>
      <c r="B54" s="66" t="s">
        <v>584</v>
      </c>
      <c r="C54" s="67" t="s">
        <v>164</v>
      </c>
      <c r="D54" s="68" t="s">
        <v>108</v>
      </c>
      <c r="E54" s="68"/>
      <c r="F54" s="69"/>
      <c r="G54" s="69">
        <f t="shared" si="4"/>
        <v>0</v>
      </c>
    </row>
    <row r="55" spans="1:7" s="61" customFormat="1" hidden="1">
      <c r="A55" s="65">
        <v>44</v>
      </c>
      <c r="B55" s="66" t="s">
        <v>584</v>
      </c>
      <c r="C55" s="67" t="s">
        <v>165</v>
      </c>
      <c r="D55" s="68" t="s">
        <v>108</v>
      </c>
      <c r="E55" s="68"/>
      <c r="F55" s="69"/>
      <c r="G55" s="69">
        <f t="shared" si="4"/>
        <v>0</v>
      </c>
    </row>
    <row r="56" spans="1:7" s="61" customFormat="1" hidden="1">
      <c r="A56" s="65">
        <v>45</v>
      </c>
      <c r="B56" s="66" t="s">
        <v>584</v>
      </c>
      <c r="C56" s="67" t="s">
        <v>166</v>
      </c>
      <c r="D56" s="68" t="s">
        <v>108</v>
      </c>
      <c r="E56" s="68"/>
      <c r="F56" s="69"/>
      <c r="G56" s="69">
        <f t="shared" si="4"/>
        <v>0</v>
      </c>
    </row>
    <row r="57" spans="1:7" s="61" customFormat="1" hidden="1">
      <c r="A57" s="65">
        <v>46</v>
      </c>
      <c r="B57" s="66" t="s">
        <v>584</v>
      </c>
      <c r="C57" s="67" t="s">
        <v>167</v>
      </c>
      <c r="D57" s="68" t="s">
        <v>108</v>
      </c>
      <c r="E57" s="68"/>
      <c r="F57" s="69"/>
      <c r="G57" s="69">
        <f t="shared" si="4"/>
        <v>0</v>
      </c>
    </row>
    <row r="58" spans="1:7" s="61" customFormat="1" hidden="1">
      <c r="A58" s="65">
        <v>47</v>
      </c>
      <c r="B58" s="66" t="s">
        <v>584</v>
      </c>
      <c r="C58" s="65" t="s">
        <v>168</v>
      </c>
      <c r="D58" s="68" t="s">
        <v>108</v>
      </c>
      <c r="E58" s="68"/>
      <c r="F58" s="69"/>
      <c r="G58" s="69">
        <f t="shared" si="4"/>
        <v>0</v>
      </c>
    </row>
    <row r="59" spans="1:7" s="61" customFormat="1" hidden="1">
      <c r="A59" s="65">
        <v>48</v>
      </c>
      <c r="B59" s="66" t="s">
        <v>584</v>
      </c>
      <c r="C59" s="67" t="s">
        <v>169</v>
      </c>
      <c r="D59" s="68" t="s">
        <v>108</v>
      </c>
      <c r="E59" s="68"/>
      <c r="F59" s="69"/>
      <c r="G59" s="69">
        <f t="shared" si="4"/>
        <v>0</v>
      </c>
    </row>
    <row r="60" spans="1:7" s="61" customFormat="1" hidden="1">
      <c r="A60" s="65">
        <v>49</v>
      </c>
      <c r="B60" s="66" t="s">
        <v>584</v>
      </c>
      <c r="C60" s="67" t="s">
        <v>170</v>
      </c>
      <c r="D60" s="68" t="s">
        <v>108</v>
      </c>
      <c r="E60" s="68"/>
      <c r="F60" s="69"/>
      <c r="G60" s="69">
        <f t="shared" si="4"/>
        <v>0</v>
      </c>
    </row>
    <row r="61" spans="1:7" s="61" customFormat="1" hidden="1">
      <c r="A61" s="65">
        <v>50</v>
      </c>
      <c r="B61" s="66" t="s">
        <v>584</v>
      </c>
      <c r="C61" s="67" t="s">
        <v>171</v>
      </c>
      <c r="D61" s="68" t="s">
        <v>108</v>
      </c>
      <c r="E61" s="68"/>
      <c r="F61" s="69"/>
      <c r="G61" s="69">
        <f t="shared" si="4"/>
        <v>0</v>
      </c>
    </row>
    <row r="62" spans="1:7" s="61" customFormat="1" hidden="1">
      <c r="A62" s="65">
        <v>51</v>
      </c>
      <c r="B62" s="66" t="s">
        <v>584</v>
      </c>
      <c r="C62" s="67" t="s">
        <v>172</v>
      </c>
      <c r="D62" s="68" t="s">
        <v>108</v>
      </c>
      <c r="E62" s="68"/>
      <c r="F62" s="69"/>
      <c r="G62" s="69">
        <f t="shared" si="4"/>
        <v>0</v>
      </c>
    </row>
    <row r="63" spans="1:7" s="61" customFormat="1" hidden="1">
      <c r="A63" s="65">
        <v>52</v>
      </c>
      <c r="B63" s="66" t="s">
        <v>584</v>
      </c>
      <c r="C63" s="67" t="s">
        <v>173</v>
      </c>
      <c r="D63" s="68" t="s">
        <v>108</v>
      </c>
      <c r="E63" s="68"/>
      <c r="F63" s="69"/>
      <c r="G63" s="69">
        <f t="shared" si="4"/>
        <v>0</v>
      </c>
    </row>
    <row r="64" spans="1:7" s="61" customFormat="1" hidden="1">
      <c r="A64" s="65">
        <v>53</v>
      </c>
      <c r="B64" s="66" t="s">
        <v>584</v>
      </c>
      <c r="C64" s="67" t="s">
        <v>174</v>
      </c>
      <c r="D64" s="68" t="s">
        <v>108</v>
      </c>
      <c r="E64" s="68"/>
      <c r="F64" s="69"/>
      <c r="G64" s="69">
        <f t="shared" si="4"/>
        <v>0</v>
      </c>
    </row>
    <row r="65" spans="1:7" s="61" customFormat="1" hidden="1">
      <c r="A65" s="65">
        <v>54</v>
      </c>
      <c r="B65" s="66" t="s">
        <v>584</v>
      </c>
      <c r="C65" s="67" t="s">
        <v>175</v>
      </c>
      <c r="D65" s="68" t="s">
        <v>108</v>
      </c>
      <c r="E65" s="68"/>
      <c r="F65" s="69"/>
      <c r="G65" s="69">
        <f t="shared" si="4"/>
        <v>0</v>
      </c>
    </row>
    <row r="66" spans="1:7" s="61" customFormat="1" hidden="1">
      <c r="A66" s="65">
        <v>55</v>
      </c>
      <c r="B66" s="66" t="s">
        <v>584</v>
      </c>
      <c r="C66" s="67" t="s">
        <v>176</v>
      </c>
      <c r="D66" s="68" t="s">
        <v>108</v>
      </c>
      <c r="E66" s="68"/>
      <c r="F66" s="69"/>
      <c r="G66" s="69">
        <f t="shared" si="4"/>
        <v>0</v>
      </c>
    </row>
    <row r="67" spans="1:7" s="61" customFormat="1" hidden="1">
      <c r="A67" s="65">
        <v>56</v>
      </c>
      <c r="B67" s="66" t="s">
        <v>584</v>
      </c>
      <c r="C67" s="67" t="s">
        <v>177</v>
      </c>
      <c r="D67" s="68" t="s">
        <v>108</v>
      </c>
      <c r="E67" s="68"/>
      <c r="F67" s="69"/>
      <c r="G67" s="69">
        <f t="shared" si="4"/>
        <v>0</v>
      </c>
    </row>
    <row r="68" spans="1:7" s="61" customFormat="1" hidden="1">
      <c r="A68" s="65">
        <v>57</v>
      </c>
      <c r="B68" s="66" t="s">
        <v>584</v>
      </c>
      <c r="C68" s="67" t="s">
        <v>178</v>
      </c>
      <c r="D68" s="68" t="s">
        <v>108</v>
      </c>
      <c r="E68" s="68"/>
      <c r="F68" s="69"/>
      <c r="G68" s="69">
        <f t="shared" si="4"/>
        <v>0</v>
      </c>
    </row>
    <row r="69" spans="1:7" s="61" customFormat="1" hidden="1">
      <c r="A69" s="65">
        <v>58</v>
      </c>
      <c r="B69" s="66" t="s">
        <v>584</v>
      </c>
      <c r="C69" s="67" t="s">
        <v>179</v>
      </c>
      <c r="D69" s="68" t="s">
        <v>108</v>
      </c>
      <c r="E69" s="68"/>
      <c r="F69" s="69"/>
      <c r="G69" s="69">
        <f t="shared" ref="G69:G85" si="5">E69*F69</f>
        <v>0</v>
      </c>
    </row>
    <row r="70" spans="1:7" s="61" customFormat="1" hidden="1">
      <c r="A70" s="65">
        <v>59</v>
      </c>
      <c r="B70" s="66" t="s">
        <v>584</v>
      </c>
      <c r="C70" s="67" t="s">
        <v>180</v>
      </c>
      <c r="D70" s="68" t="s">
        <v>108</v>
      </c>
      <c r="E70" s="68"/>
      <c r="F70" s="69"/>
      <c r="G70" s="69">
        <f t="shared" si="5"/>
        <v>0</v>
      </c>
    </row>
    <row r="71" spans="1:7" s="61" customFormat="1" hidden="1">
      <c r="A71" s="65">
        <v>60</v>
      </c>
      <c r="B71" s="66" t="s">
        <v>584</v>
      </c>
      <c r="C71" s="67" t="s">
        <v>181</v>
      </c>
      <c r="D71" s="68" t="s">
        <v>108</v>
      </c>
      <c r="E71" s="68"/>
      <c r="F71" s="69"/>
      <c r="G71" s="69">
        <f t="shared" si="5"/>
        <v>0</v>
      </c>
    </row>
    <row r="72" spans="1:7" s="61" customFormat="1" hidden="1">
      <c r="A72" s="65">
        <v>61</v>
      </c>
      <c r="B72" s="66" t="s">
        <v>584</v>
      </c>
      <c r="C72" s="67" t="s">
        <v>182</v>
      </c>
      <c r="D72" s="68" t="s">
        <v>108</v>
      </c>
      <c r="E72" s="68"/>
      <c r="F72" s="69"/>
      <c r="G72" s="69">
        <f t="shared" si="5"/>
        <v>0</v>
      </c>
    </row>
    <row r="73" spans="1:7" s="61" customFormat="1" hidden="1">
      <c r="A73" s="65">
        <v>62</v>
      </c>
      <c r="B73" s="66" t="s">
        <v>584</v>
      </c>
      <c r="C73" s="67" t="s">
        <v>183</v>
      </c>
      <c r="D73" s="68" t="s">
        <v>108</v>
      </c>
      <c r="E73" s="68"/>
      <c r="F73" s="69"/>
      <c r="G73" s="69">
        <f t="shared" si="5"/>
        <v>0</v>
      </c>
    </row>
    <row r="74" spans="1:7" s="61" customFormat="1" hidden="1">
      <c r="A74" s="65">
        <v>63</v>
      </c>
      <c r="B74" s="66" t="s">
        <v>584</v>
      </c>
      <c r="C74" s="67" t="s">
        <v>184</v>
      </c>
      <c r="D74" s="68" t="s">
        <v>108</v>
      </c>
      <c r="E74" s="68"/>
      <c r="F74" s="69"/>
      <c r="G74" s="69">
        <f t="shared" si="5"/>
        <v>0</v>
      </c>
    </row>
    <row r="75" spans="1:7" s="61" customFormat="1">
      <c r="A75" s="65">
        <v>64</v>
      </c>
      <c r="B75" s="66" t="s">
        <v>584</v>
      </c>
      <c r="C75" s="67" t="s">
        <v>585</v>
      </c>
      <c r="D75" s="68" t="s">
        <v>108</v>
      </c>
      <c r="E75" s="68"/>
      <c r="F75" s="69">
        <v>7.45</v>
      </c>
      <c r="G75" s="69">
        <f t="shared" si="5"/>
        <v>0</v>
      </c>
    </row>
    <row r="76" spans="1:7" s="61" customFormat="1">
      <c r="A76" s="65">
        <v>65</v>
      </c>
      <c r="B76" s="66" t="s">
        <v>584</v>
      </c>
      <c r="C76" s="65" t="s">
        <v>586</v>
      </c>
      <c r="D76" s="68" t="s">
        <v>108</v>
      </c>
      <c r="E76" s="68"/>
      <c r="F76" s="69">
        <v>7.5</v>
      </c>
      <c r="G76" s="69">
        <f t="shared" si="5"/>
        <v>0</v>
      </c>
    </row>
    <row r="77" spans="1:7" s="61" customFormat="1">
      <c r="A77" s="65">
        <v>66</v>
      </c>
      <c r="B77" s="66" t="s">
        <v>584</v>
      </c>
      <c r="C77" s="65" t="s">
        <v>163</v>
      </c>
      <c r="D77" s="68" t="s">
        <v>108</v>
      </c>
      <c r="E77" s="68"/>
      <c r="F77" s="69">
        <v>7.45</v>
      </c>
      <c r="G77" s="69">
        <f t="shared" si="5"/>
        <v>0</v>
      </c>
    </row>
    <row r="78" spans="1:7" s="61" customFormat="1">
      <c r="A78" s="65">
        <v>67</v>
      </c>
      <c r="B78" s="66" t="s">
        <v>584</v>
      </c>
      <c r="C78" s="65" t="s">
        <v>165</v>
      </c>
      <c r="D78" s="68" t="s">
        <v>108</v>
      </c>
      <c r="E78" s="68"/>
      <c r="F78" s="69">
        <v>8.4499999999999993</v>
      </c>
      <c r="G78" s="69">
        <f t="shared" si="5"/>
        <v>0</v>
      </c>
    </row>
    <row r="79" spans="1:7" s="61" customFormat="1">
      <c r="A79" s="65">
        <v>68</v>
      </c>
      <c r="B79" s="66" t="s">
        <v>647</v>
      </c>
      <c r="C79" s="67" t="s">
        <v>166</v>
      </c>
      <c r="D79" s="68" t="s">
        <v>108</v>
      </c>
      <c r="E79" s="68"/>
      <c r="F79" s="69">
        <v>10</v>
      </c>
      <c r="G79" s="69">
        <f t="shared" si="5"/>
        <v>0</v>
      </c>
    </row>
    <row r="80" spans="1:7" s="61" customFormat="1">
      <c r="A80" s="65">
        <v>69</v>
      </c>
      <c r="B80" s="66" t="s">
        <v>647</v>
      </c>
      <c r="C80" s="67" t="s">
        <v>167</v>
      </c>
      <c r="D80" s="68" t="s">
        <v>108</v>
      </c>
      <c r="E80" s="68"/>
      <c r="F80" s="69">
        <v>10</v>
      </c>
      <c r="G80" s="69">
        <f t="shared" si="5"/>
        <v>0</v>
      </c>
    </row>
    <row r="81" spans="1:7" s="61" customFormat="1">
      <c r="A81" s="65">
        <v>70</v>
      </c>
      <c r="B81" s="66" t="s">
        <v>647</v>
      </c>
      <c r="C81" s="67" t="s">
        <v>168</v>
      </c>
      <c r="D81" s="68" t="s">
        <v>108</v>
      </c>
      <c r="E81" s="68"/>
      <c r="F81" s="69">
        <v>9.9</v>
      </c>
      <c r="G81" s="69">
        <f t="shared" si="5"/>
        <v>0</v>
      </c>
    </row>
    <row r="82" spans="1:7" s="61" customFormat="1">
      <c r="A82" s="65">
        <v>71</v>
      </c>
      <c r="B82" s="66" t="s">
        <v>647</v>
      </c>
      <c r="C82" s="67" t="s">
        <v>169</v>
      </c>
      <c r="D82" s="68" t="s">
        <v>108</v>
      </c>
      <c r="E82" s="68"/>
      <c r="F82" s="69">
        <v>8.8000000000000007</v>
      </c>
      <c r="G82" s="69">
        <f t="shared" si="5"/>
        <v>0</v>
      </c>
    </row>
    <row r="83" spans="1:7" s="61" customFormat="1">
      <c r="A83" s="65">
        <v>72</v>
      </c>
      <c r="B83" s="66" t="s">
        <v>647</v>
      </c>
      <c r="C83" s="67" t="s">
        <v>170</v>
      </c>
      <c r="D83" s="68" t="s">
        <v>108</v>
      </c>
      <c r="E83" s="68"/>
      <c r="F83" s="69">
        <v>9.5500000000000007</v>
      </c>
      <c r="G83" s="69">
        <f t="shared" si="5"/>
        <v>0</v>
      </c>
    </row>
    <row r="84" spans="1:7" s="61" customFormat="1">
      <c r="A84" s="65">
        <v>73</v>
      </c>
      <c r="B84" s="66" t="s">
        <v>647</v>
      </c>
      <c r="C84" s="67" t="s">
        <v>171</v>
      </c>
      <c r="D84" s="68" t="s">
        <v>108</v>
      </c>
      <c r="E84" s="68"/>
      <c r="F84" s="69">
        <v>8.4</v>
      </c>
      <c r="G84" s="69">
        <f t="shared" si="5"/>
        <v>0</v>
      </c>
    </row>
    <row r="85" spans="1:7" s="61" customFormat="1">
      <c r="A85" s="65">
        <v>74</v>
      </c>
      <c r="B85" s="66" t="s">
        <v>647</v>
      </c>
      <c r="C85" s="67" t="s">
        <v>172</v>
      </c>
      <c r="D85" s="68" t="s">
        <v>108</v>
      </c>
      <c r="E85" s="68"/>
      <c r="F85" s="69">
        <v>9.8000000000000007</v>
      </c>
      <c r="G85" s="69">
        <f t="shared" si="5"/>
        <v>0</v>
      </c>
    </row>
    <row r="86" spans="1:7" s="61" customFormat="1">
      <c r="A86" s="65">
        <v>75</v>
      </c>
      <c r="B86" s="66" t="s">
        <v>647</v>
      </c>
      <c r="C86" s="67" t="s">
        <v>173</v>
      </c>
      <c r="D86" s="68" t="s">
        <v>108</v>
      </c>
      <c r="E86" s="68"/>
      <c r="F86" s="69">
        <v>9.9</v>
      </c>
      <c r="G86" s="69">
        <f t="shared" ref="G86:G94" si="6">E86*F86</f>
        <v>0</v>
      </c>
    </row>
    <row r="87" spans="1:7" s="61" customFormat="1">
      <c r="A87" s="65">
        <v>76</v>
      </c>
      <c r="B87" s="66" t="s">
        <v>647</v>
      </c>
      <c r="C87" s="67" t="s">
        <v>174</v>
      </c>
      <c r="D87" s="68" t="s">
        <v>108</v>
      </c>
      <c r="E87" s="68"/>
      <c r="F87" s="69">
        <v>10</v>
      </c>
      <c r="G87" s="69">
        <f t="shared" si="6"/>
        <v>0</v>
      </c>
    </row>
    <row r="88" spans="1:7" s="61" customFormat="1">
      <c r="A88" s="65">
        <v>77</v>
      </c>
      <c r="B88" s="66" t="s">
        <v>647</v>
      </c>
      <c r="C88" s="67" t="s">
        <v>175</v>
      </c>
      <c r="D88" s="68" t="s">
        <v>108</v>
      </c>
      <c r="E88" s="68"/>
      <c r="F88" s="69">
        <v>9.9</v>
      </c>
      <c r="G88" s="69">
        <f t="shared" si="6"/>
        <v>0</v>
      </c>
    </row>
    <row r="89" spans="1:7" s="61" customFormat="1">
      <c r="A89" s="65">
        <v>78</v>
      </c>
      <c r="B89" s="66" t="s">
        <v>647</v>
      </c>
      <c r="C89" s="67" t="s">
        <v>176</v>
      </c>
      <c r="D89" s="68" t="s">
        <v>108</v>
      </c>
      <c r="E89" s="68"/>
      <c r="F89" s="69">
        <v>9.75</v>
      </c>
      <c r="G89" s="69">
        <f t="shared" si="6"/>
        <v>0</v>
      </c>
    </row>
    <row r="90" spans="1:7" s="61" customFormat="1">
      <c r="A90" s="65">
        <v>79</v>
      </c>
      <c r="B90" s="66" t="s">
        <v>647</v>
      </c>
      <c r="C90" s="67" t="s">
        <v>177</v>
      </c>
      <c r="D90" s="68" t="s">
        <v>108</v>
      </c>
      <c r="E90" s="68"/>
      <c r="F90" s="69">
        <v>9.75</v>
      </c>
      <c r="G90" s="69">
        <f t="shared" si="6"/>
        <v>0</v>
      </c>
    </row>
    <row r="91" spans="1:7" s="61" customFormat="1">
      <c r="A91" s="65">
        <v>80</v>
      </c>
      <c r="B91" s="66" t="s">
        <v>647</v>
      </c>
      <c r="C91" s="67" t="s">
        <v>178</v>
      </c>
      <c r="D91" s="68" t="s">
        <v>108</v>
      </c>
      <c r="E91" s="68"/>
      <c r="F91" s="69">
        <v>9.8000000000000007</v>
      </c>
      <c r="G91" s="69">
        <f t="shared" si="6"/>
        <v>0</v>
      </c>
    </row>
    <row r="92" spans="1:7" s="61" customFormat="1">
      <c r="A92" s="65">
        <v>81</v>
      </c>
      <c r="B92" s="66" t="s">
        <v>647</v>
      </c>
      <c r="C92" s="67" t="s">
        <v>179</v>
      </c>
      <c r="D92" s="68" t="s">
        <v>108</v>
      </c>
      <c r="E92" s="68"/>
      <c r="F92" s="69">
        <v>9.85</v>
      </c>
      <c r="G92" s="69">
        <f t="shared" si="6"/>
        <v>0</v>
      </c>
    </row>
    <row r="93" spans="1:7" s="61" customFormat="1">
      <c r="A93" s="65">
        <v>82</v>
      </c>
      <c r="B93" s="66" t="s">
        <v>647</v>
      </c>
      <c r="C93" s="67" t="s">
        <v>180</v>
      </c>
      <c r="D93" s="68" t="s">
        <v>108</v>
      </c>
      <c r="E93" s="68"/>
      <c r="F93" s="69">
        <v>9.8000000000000007</v>
      </c>
      <c r="G93" s="69">
        <f t="shared" si="6"/>
        <v>0</v>
      </c>
    </row>
    <row r="94" spans="1:7" s="61" customFormat="1">
      <c r="A94" s="65">
        <v>83</v>
      </c>
      <c r="B94" s="66" t="s">
        <v>647</v>
      </c>
      <c r="C94" s="67" t="s">
        <v>181</v>
      </c>
      <c r="D94" s="68" t="s">
        <v>108</v>
      </c>
      <c r="E94" s="68"/>
      <c r="F94" s="69">
        <v>10</v>
      </c>
      <c r="G94" s="69">
        <f t="shared" si="6"/>
        <v>0</v>
      </c>
    </row>
    <row r="95" spans="1:7" s="61" customFormat="1">
      <c r="A95" s="65">
        <v>84</v>
      </c>
      <c r="B95" s="66" t="s">
        <v>647</v>
      </c>
      <c r="C95" s="67" t="s">
        <v>182</v>
      </c>
      <c r="D95" s="68" t="s">
        <v>108</v>
      </c>
      <c r="E95" s="68"/>
      <c r="F95" s="69">
        <v>9.4</v>
      </c>
      <c r="G95" s="69">
        <f t="shared" ref="G95:G110" si="7">E95*F95</f>
        <v>0</v>
      </c>
    </row>
    <row r="96" spans="1:7" s="61" customFormat="1">
      <c r="A96" s="65">
        <v>85</v>
      </c>
      <c r="B96" s="66" t="s">
        <v>647</v>
      </c>
      <c r="C96" s="67" t="s">
        <v>183</v>
      </c>
      <c r="D96" s="68" t="s">
        <v>108</v>
      </c>
      <c r="E96" s="68"/>
      <c r="F96" s="69">
        <v>9.85</v>
      </c>
      <c r="G96" s="69">
        <f t="shared" si="7"/>
        <v>0</v>
      </c>
    </row>
    <row r="97" spans="1:10" s="61" customFormat="1">
      <c r="A97" s="65">
        <v>86</v>
      </c>
      <c r="B97" s="66" t="s">
        <v>647</v>
      </c>
      <c r="C97" s="67" t="s">
        <v>184</v>
      </c>
      <c r="D97" s="68" t="s">
        <v>108</v>
      </c>
      <c r="E97" s="68"/>
      <c r="F97" s="69">
        <v>10.85</v>
      </c>
      <c r="G97" s="69">
        <f t="shared" si="7"/>
        <v>0</v>
      </c>
    </row>
    <row r="98" spans="1:10" s="61" customFormat="1">
      <c r="A98" s="65">
        <v>87</v>
      </c>
      <c r="B98" s="66" t="s">
        <v>647</v>
      </c>
      <c r="C98" s="67" t="s">
        <v>185</v>
      </c>
      <c r="D98" s="68" t="s">
        <v>108</v>
      </c>
      <c r="E98" s="68"/>
      <c r="F98" s="69">
        <v>10</v>
      </c>
      <c r="G98" s="69">
        <f t="shared" si="7"/>
        <v>0</v>
      </c>
    </row>
    <row r="99" spans="1:10" s="61" customFormat="1">
      <c r="A99" s="65">
        <v>88</v>
      </c>
      <c r="B99" s="66" t="s">
        <v>648</v>
      </c>
      <c r="C99" s="72" t="s">
        <v>186</v>
      </c>
      <c r="D99" s="68" t="s">
        <v>108</v>
      </c>
      <c r="E99" s="68"/>
      <c r="F99" s="69">
        <v>6.5</v>
      </c>
      <c r="G99" s="69">
        <f t="shared" si="7"/>
        <v>0</v>
      </c>
    </row>
    <row r="100" spans="1:10" s="61" customFormat="1">
      <c r="A100" s="65">
        <v>89</v>
      </c>
      <c r="B100" s="66" t="s">
        <v>648</v>
      </c>
      <c r="C100" s="67" t="s">
        <v>187</v>
      </c>
      <c r="D100" s="68" t="s">
        <v>108</v>
      </c>
      <c r="E100" s="68"/>
      <c r="F100" s="69">
        <v>6.2</v>
      </c>
      <c r="G100" s="69">
        <f t="shared" si="7"/>
        <v>0</v>
      </c>
      <c r="J100" s="61" t="s">
        <v>21</v>
      </c>
    </row>
    <row r="101" spans="1:10" s="61" customFormat="1">
      <c r="A101" s="65">
        <v>90</v>
      </c>
      <c r="B101" s="66" t="s">
        <v>648</v>
      </c>
      <c r="C101" s="67" t="s">
        <v>188</v>
      </c>
      <c r="D101" s="68" t="s">
        <v>108</v>
      </c>
      <c r="E101" s="68"/>
      <c r="F101" s="69">
        <v>7.75</v>
      </c>
      <c r="G101" s="69">
        <f t="shared" si="7"/>
        <v>0</v>
      </c>
    </row>
    <row r="102" spans="1:10" s="61" customFormat="1">
      <c r="A102" s="65">
        <v>91</v>
      </c>
      <c r="B102" s="66" t="s">
        <v>648</v>
      </c>
      <c r="C102" s="65" t="s">
        <v>189</v>
      </c>
      <c r="D102" s="68" t="s">
        <v>108</v>
      </c>
      <c r="E102" s="68"/>
      <c r="F102" s="69">
        <v>5.5</v>
      </c>
      <c r="G102" s="69">
        <f t="shared" si="7"/>
        <v>0</v>
      </c>
    </row>
    <row r="103" spans="1:10" s="61" customFormat="1">
      <c r="A103" s="65">
        <v>92</v>
      </c>
      <c r="B103" s="66" t="s">
        <v>648</v>
      </c>
      <c r="C103" s="67" t="s">
        <v>190</v>
      </c>
      <c r="D103" s="68" t="s">
        <v>108</v>
      </c>
      <c r="E103" s="68"/>
      <c r="F103" s="69">
        <v>5.25</v>
      </c>
      <c r="G103" s="69">
        <f t="shared" si="7"/>
        <v>0</v>
      </c>
    </row>
    <row r="104" spans="1:10" s="61" customFormat="1">
      <c r="A104" s="65">
        <v>93</v>
      </c>
      <c r="B104" s="66" t="s">
        <v>648</v>
      </c>
      <c r="C104" s="67" t="s">
        <v>191</v>
      </c>
      <c r="D104" s="68" t="s">
        <v>108</v>
      </c>
      <c r="E104" s="68"/>
      <c r="F104" s="69">
        <v>5.25</v>
      </c>
      <c r="G104" s="69">
        <f t="shared" si="7"/>
        <v>0</v>
      </c>
    </row>
    <row r="105" spans="1:10" s="61" customFormat="1">
      <c r="A105" s="65">
        <v>94</v>
      </c>
      <c r="B105" s="66" t="s">
        <v>648</v>
      </c>
      <c r="C105" s="67" t="s">
        <v>192</v>
      </c>
      <c r="D105" s="68" t="s">
        <v>108</v>
      </c>
      <c r="E105" s="68"/>
      <c r="F105" s="69">
        <v>6.25</v>
      </c>
      <c r="G105" s="69">
        <f t="shared" si="7"/>
        <v>0</v>
      </c>
    </row>
    <row r="106" spans="1:10" s="61" customFormat="1">
      <c r="A106" s="65">
        <v>95</v>
      </c>
      <c r="B106" s="66" t="s">
        <v>648</v>
      </c>
      <c r="C106" s="67" t="s">
        <v>193</v>
      </c>
      <c r="D106" s="68" t="s">
        <v>108</v>
      </c>
      <c r="E106" s="68"/>
      <c r="F106" s="69">
        <v>6.4</v>
      </c>
      <c r="G106" s="69">
        <f t="shared" si="7"/>
        <v>0</v>
      </c>
    </row>
    <row r="107" spans="1:10" s="61" customFormat="1">
      <c r="A107" s="65">
        <v>96</v>
      </c>
      <c r="B107" s="66" t="s">
        <v>648</v>
      </c>
      <c r="C107" s="67" t="s">
        <v>194</v>
      </c>
      <c r="D107" s="68" t="s">
        <v>108</v>
      </c>
      <c r="E107" s="68"/>
      <c r="F107" s="69">
        <v>4.75</v>
      </c>
      <c r="G107" s="69">
        <f t="shared" si="7"/>
        <v>0</v>
      </c>
    </row>
    <row r="108" spans="1:10" s="61" customFormat="1">
      <c r="A108" s="65">
        <v>97</v>
      </c>
      <c r="B108" s="66" t="s">
        <v>648</v>
      </c>
      <c r="C108" s="67" t="s">
        <v>195</v>
      </c>
      <c r="D108" s="68" t="s">
        <v>108</v>
      </c>
      <c r="E108" s="68"/>
      <c r="F108" s="69">
        <v>6.85</v>
      </c>
      <c r="G108" s="69">
        <f t="shared" si="7"/>
        <v>0</v>
      </c>
    </row>
    <row r="109" spans="1:10" s="61" customFormat="1">
      <c r="A109" s="65">
        <v>98</v>
      </c>
      <c r="B109" s="66" t="s">
        <v>637</v>
      </c>
      <c r="C109" s="67" t="s">
        <v>643</v>
      </c>
      <c r="D109" s="68" t="s">
        <v>108</v>
      </c>
      <c r="E109" s="68"/>
      <c r="F109" s="69">
        <v>7.85</v>
      </c>
      <c r="G109" s="69">
        <f t="shared" ref="G109" si="8">E109*F109</f>
        <v>0</v>
      </c>
    </row>
    <row r="110" spans="1:10" s="61" customFormat="1">
      <c r="A110" s="65">
        <v>99</v>
      </c>
      <c r="B110" s="66" t="s">
        <v>634</v>
      </c>
      <c r="C110" s="67" t="s">
        <v>196</v>
      </c>
      <c r="D110" s="68" t="s">
        <v>108</v>
      </c>
      <c r="E110" s="68"/>
      <c r="F110" s="69">
        <v>23</v>
      </c>
      <c r="G110" s="69">
        <f t="shared" si="7"/>
        <v>0</v>
      </c>
    </row>
    <row r="111" spans="1:10" s="61" customFormat="1">
      <c r="A111" s="65">
        <v>100</v>
      </c>
      <c r="B111" s="66" t="s">
        <v>634</v>
      </c>
      <c r="C111" s="67" t="s">
        <v>197</v>
      </c>
      <c r="D111" s="68" t="s">
        <v>108</v>
      </c>
      <c r="E111" s="68"/>
      <c r="F111" s="69">
        <v>26</v>
      </c>
      <c r="G111" s="69">
        <f t="shared" ref="G111:G118" si="9">E111*F111</f>
        <v>0</v>
      </c>
    </row>
    <row r="112" spans="1:10" s="61" customFormat="1">
      <c r="A112" s="65">
        <v>101</v>
      </c>
      <c r="B112" s="66" t="s">
        <v>634</v>
      </c>
      <c r="C112" s="67" t="s">
        <v>198</v>
      </c>
      <c r="D112" s="68" t="s">
        <v>108</v>
      </c>
      <c r="E112" s="68"/>
      <c r="F112" s="69">
        <v>29</v>
      </c>
      <c r="G112" s="69">
        <f t="shared" si="9"/>
        <v>0</v>
      </c>
    </row>
    <row r="113" spans="1:7" s="61" customFormat="1">
      <c r="A113" s="65">
        <v>102</v>
      </c>
      <c r="B113" s="66" t="s">
        <v>634</v>
      </c>
      <c r="C113" s="67" t="s">
        <v>199</v>
      </c>
      <c r="D113" s="68" t="s">
        <v>108</v>
      </c>
      <c r="E113" s="68"/>
      <c r="F113" s="69">
        <v>35</v>
      </c>
      <c r="G113" s="69">
        <f t="shared" si="9"/>
        <v>0</v>
      </c>
    </row>
    <row r="114" spans="1:7" s="61" customFormat="1">
      <c r="A114" s="65">
        <v>103</v>
      </c>
      <c r="B114" s="66" t="s">
        <v>634</v>
      </c>
      <c r="C114" s="67" t="s">
        <v>200</v>
      </c>
      <c r="D114" s="68" t="s">
        <v>108</v>
      </c>
      <c r="E114" s="68"/>
      <c r="F114" s="69">
        <v>55</v>
      </c>
      <c r="G114" s="69">
        <f t="shared" si="9"/>
        <v>0</v>
      </c>
    </row>
    <row r="115" spans="1:7" s="61" customFormat="1">
      <c r="A115" s="65">
        <v>104</v>
      </c>
      <c r="B115" s="66" t="s">
        <v>634</v>
      </c>
      <c r="C115" s="67" t="s">
        <v>201</v>
      </c>
      <c r="D115" s="68" t="s">
        <v>108</v>
      </c>
      <c r="E115" s="68"/>
      <c r="F115" s="69">
        <v>50</v>
      </c>
      <c r="G115" s="69">
        <f t="shared" si="9"/>
        <v>0</v>
      </c>
    </row>
    <row r="116" spans="1:7" s="61" customFormat="1">
      <c r="A116" s="65">
        <v>105</v>
      </c>
      <c r="B116" s="66" t="s">
        <v>634</v>
      </c>
      <c r="C116" s="67" t="s">
        <v>202</v>
      </c>
      <c r="D116" s="68" t="s">
        <v>108</v>
      </c>
      <c r="E116" s="68"/>
      <c r="F116" s="69">
        <v>23.2</v>
      </c>
      <c r="G116" s="69">
        <f t="shared" si="9"/>
        <v>0</v>
      </c>
    </row>
    <row r="117" spans="1:7" s="61" customFormat="1">
      <c r="A117" s="65">
        <v>106</v>
      </c>
      <c r="B117" s="66" t="s">
        <v>556</v>
      </c>
      <c r="C117" s="67" t="s">
        <v>203</v>
      </c>
      <c r="D117" s="68" t="s">
        <v>108</v>
      </c>
      <c r="E117" s="68"/>
      <c r="F117" s="69">
        <v>7.2</v>
      </c>
      <c r="G117" s="69">
        <f t="shared" si="9"/>
        <v>0</v>
      </c>
    </row>
    <row r="118" spans="1:7" s="61" customFormat="1">
      <c r="A118" s="65">
        <v>107</v>
      </c>
      <c r="B118" s="66" t="s">
        <v>556</v>
      </c>
      <c r="C118" s="67" t="s">
        <v>204</v>
      </c>
      <c r="D118" s="68" t="s">
        <v>108</v>
      </c>
      <c r="E118" s="68"/>
      <c r="F118" s="69">
        <v>7.7</v>
      </c>
      <c r="G118" s="69">
        <f t="shared" si="9"/>
        <v>0</v>
      </c>
    </row>
    <row r="119" spans="1:7" s="61" customFormat="1">
      <c r="A119" s="65">
        <v>108</v>
      </c>
      <c r="B119" s="66" t="s">
        <v>556</v>
      </c>
      <c r="C119" s="67" t="s">
        <v>587</v>
      </c>
      <c r="D119" s="68" t="s">
        <v>108</v>
      </c>
      <c r="E119" s="68"/>
      <c r="F119" s="69">
        <v>20.3</v>
      </c>
      <c r="G119" s="69">
        <f t="shared" ref="G119" si="10">E119*F119</f>
        <v>0</v>
      </c>
    </row>
    <row r="120" spans="1:7" s="61" customFormat="1">
      <c r="A120" s="65">
        <v>109</v>
      </c>
      <c r="B120" s="66" t="s">
        <v>556</v>
      </c>
      <c r="C120" s="67" t="s">
        <v>588</v>
      </c>
      <c r="D120" s="68" t="s">
        <v>108</v>
      </c>
      <c r="E120" s="68"/>
      <c r="F120" s="69">
        <v>9.5</v>
      </c>
      <c r="G120" s="69">
        <f t="shared" ref="G120:G149" si="11">E120*F120</f>
        <v>0</v>
      </c>
    </row>
    <row r="121" spans="1:7" s="61" customFormat="1">
      <c r="A121" s="65">
        <v>110</v>
      </c>
      <c r="B121" s="66" t="s">
        <v>556</v>
      </c>
      <c r="C121" s="67" t="s">
        <v>205</v>
      </c>
      <c r="D121" s="68" t="s">
        <v>108</v>
      </c>
      <c r="E121" s="68"/>
      <c r="F121" s="69">
        <v>23.25</v>
      </c>
      <c r="G121" s="69">
        <f t="shared" si="11"/>
        <v>0</v>
      </c>
    </row>
    <row r="122" spans="1:7" s="61" customFormat="1">
      <c r="A122" s="65">
        <v>111</v>
      </c>
      <c r="B122" s="66" t="s">
        <v>556</v>
      </c>
      <c r="C122" s="65" t="s">
        <v>206</v>
      </c>
      <c r="D122" s="68" t="s">
        <v>108</v>
      </c>
      <c r="E122" s="65"/>
      <c r="F122" s="69">
        <v>9.85</v>
      </c>
      <c r="G122" s="69">
        <f t="shared" si="11"/>
        <v>0</v>
      </c>
    </row>
    <row r="123" spans="1:7" s="61" customFormat="1">
      <c r="A123" s="65">
        <v>112</v>
      </c>
      <c r="B123" s="66" t="s">
        <v>556</v>
      </c>
      <c r="C123" s="65" t="s">
        <v>207</v>
      </c>
      <c r="D123" s="68" t="s">
        <v>108</v>
      </c>
      <c r="E123" s="65"/>
      <c r="F123" s="69">
        <v>5.8</v>
      </c>
      <c r="G123" s="69">
        <f t="shared" si="11"/>
        <v>0</v>
      </c>
    </row>
    <row r="124" spans="1:7" s="61" customFormat="1">
      <c r="A124" s="65">
        <v>113</v>
      </c>
      <c r="B124" s="66" t="s">
        <v>556</v>
      </c>
      <c r="C124" s="65" t="s">
        <v>208</v>
      </c>
      <c r="D124" s="68" t="s">
        <v>108</v>
      </c>
      <c r="E124" s="65"/>
      <c r="F124" s="69">
        <v>5.2</v>
      </c>
      <c r="G124" s="69">
        <f t="shared" si="11"/>
        <v>0</v>
      </c>
    </row>
    <row r="125" spans="1:7" s="61" customFormat="1">
      <c r="A125" s="65">
        <v>114</v>
      </c>
      <c r="B125" s="65" t="s">
        <v>589</v>
      </c>
      <c r="C125" s="65" t="s">
        <v>209</v>
      </c>
      <c r="D125" s="68" t="s">
        <v>108</v>
      </c>
      <c r="E125" s="65"/>
      <c r="F125" s="69">
        <v>50</v>
      </c>
      <c r="G125" s="69">
        <f t="shared" si="11"/>
        <v>0</v>
      </c>
    </row>
    <row r="126" spans="1:7" s="61" customFormat="1">
      <c r="A126" s="65">
        <v>115</v>
      </c>
      <c r="B126" s="65" t="s">
        <v>590</v>
      </c>
      <c r="C126" s="65" t="s">
        <v>210</v>
      </c>
      <c r="D126" s="68" t="s">
        <v>108</v>
      </c>
      <c r="E126" s="65"/>
      <c r="F126" s="69">
        <v>2.35</v>
      </c>
      <c r="G126" s="69">
        <f t="shared" si="11"/>
        <v>0</v>
      </c>
    </row>
    <row r="127" spans="1:7" s="61" customFormat="1">
      <c r="A127" s="65">
        <v>116</v>
      </c>
      <c r="B127" s="65" t="s">
        <v>590</v>
      </c>
      <c r="C127" s="65" t="s">
        <v>211</v>
      </c>
      <c r="D127" s="68" t="s">
        <v>108</v>
      </c>
      <c r="E127" s="65"/>
      <c r="F127" s="69">
        <v>18.2</v>
      </c>
      <c r="G127" s="69">
        <f t="shared" si="11"/>
        <v>0</v>
      </c>
    </row>
    <row r="128" spans="1:7" s="61" customFormat="1">
      <c r="A128" s="65">
        <v>117</v>
      </c>
      <c r="B128" s="65" t="s">
        <v>590</v>
      </c>
      <c r="C128" s="65" t="s">
        <v>212</v>
      </c>
      <c r="D128" s="68" t="s">
        <v>108</v>
      </c>
      <c r="E128" s="65"/>
      <c r="F128" s="69">
        <v>7.5</v>
      </c>
      <c r="G128" s="69">
        <f t="shared" si="11"/>
        <v>0</v>
      </c>
    </row>
    <row r="129" spans="1:7" s="61" customFormat="1">
      <c r="A129" s="65">
        <v>118</v>
      </c>
      <c r="B129" s="65" t="s">
        <v>649</v>
      </c>
      <c r="C129" s="65" t="s">
        <v>591</v>
      </c>
      <c r="D129" s="68" t="s">
        <v>108</v>
      </c>
      <c r="E129" s="65"/>
      <c r="F129" s="69">
        <v>12.1</v>
      </c>
      <c r="G129" s="69">
        <f t="shared" si="11"/>
        <v>0</v>
      </c>
    </row>
    <row r="130" spans="1:7" s="61" customFormat="1">
      <c r="A130" s="65">
        <v>119</v>
      </c>
      <c r="B130" s="65" t="s">
        <v>649</v>
      </c>
      <c r="C130" s="65" t="s">
        <v>592</v>
      </c>
      <c r="D130" s="68" t="s">
        <v>108</v>
      </c>
      <c r="E130" s="65"/>
      <c r="F130" s="69">
        <v>8.8000000000000007</v>
      </c>
      <c r="G130" s="69">
        <f t="shared" si="11"/>
        <v>0</v>
      </c>
    </row>
    <row r="131" spans="1:7" s="61" customFormat="1">
      <c r="A131" s="65">
        <v>120</v>
      </c>
      <c r="B131" s="65" t="s">
        <v>650</v>
      </c>
      <c r="C131" s="65" t="s">
        <v>213</v>
      </c>
      <c r="D131" s="68" t="s">
        <v>108</v>
      </c>
      <c r="E131" s="65"/>
      <c r="F131" s="69">
        <v>18.45</v>
      </c>
      <c r="G131" s="69">
        <f t="shared" si="11"/>
        <v>0</v>
      </c>
    </row>
    <row r="132" spans="1:7" s="61" customFormat="1">
      <c r="A132" s="65">
        <v>121</v>
      </c>
      <c r="B132" s="65" t="s">
        <v>650</v>
      </c>
      <c r="C132" s="65" t="s">
        <v>214</v>
      </c>
      <c r="D132" s="68" t="s">
        <v>108</v>
      </c>
      <c r="E132" s="65"/>
      <c r="F132" s="69">
        <v>14.9</v>
      </c>
      <c r="G132" s="69">
        <f t="shared" si="11"/>
        <v>0</v>
      </c>
    </row>
    <row r="133" spans="1:7" s="61" customFormat="1">
      <c r="A133" s="65">
        <v>122</v>
      </c>
      <c r="B133" s="65" t="s">
        <v>650</v>
      </c>
      <c r="C133" s="65" t="s">
        <v>215</v>
      </c>
      <c r="D133" s="68" t="s">
        <v>108</v>
      </c>
      <c r="E133" s="65"/>
      <c r="F133" s="69">
        <v>10.8</v>
      </c>
      <c r="G133" s="69">
        <f t="shared" si="11"/>
        <v>0</v>
      </c>
    </row>
    <row r="134" spans="1:7" s="61" customFormat="1">
      <c r="A134" s="65">
        <v>123</v>
      </c>
      <c r="B134" s="65" t="s">
        <v>650</v>
      </c>
      <c r="C134" s="65" t="s">
        <v>216</v>
      </c>
      <c r="D134" s="68" t="s">
        <v>108</v>
      </c>
      <c r="E134" s="65"/>
      <c r="F134" s="69">
        <v>9.5500000000000007</v>
      </c>
      <c r="G134" s="69">
        <f t="shared" si="11"/>
        <v>0</v>
      </c>
    </row>
    <row r="135" spans="1:7" s="61" customFormat="1">
      <c r="A135" s="65">
        <v>124</v>
      </c>
      <c r="B135" s="65" t="s">
        <v>650</v>
      </c>
      <c r="C135" s="65" t="s">
        <v>217</v>
      </c>
      <c r="D135" s="68" t="s">
        <v>108</v>
      </c>
      <c r="E135" s="65"/>
      <c r="F135" s="69">
        <v>9.3000000000000007</v>
      </c>
      <c r="G135" s="69">
        <f t="shared" si="11"/>
        <v>0</v>
      </c>
    </row>
    <row r="136" spans="1:7" s="61" customFormat="1">
      <c r="A136" s="65">
        <v>125</v>
      </c>
      <c r="B136" s="65" t="s">
        <v>650</v>
      </c>
      <c r="C136" s="65" t="s">
        <v>218</v>
      </c>
      <c r="D136" s="68" t="s">
        <v>108</v>
      </c>
      <c r="E136" s="65"/>
      <c r="F136" s="69">
        <v>14.85</v>
      </c>
      <c r="G136" s="69">
        <f t="shared" si="11"/>
        <v>0</v>
      </c>
    </row>
    <row r="137" spans="1:7" s="61" customFormat="1">
      <c r="A137" s="65">
        <v>126</v>
      </c>
      <c r="B137" s="65" t="s">
        <v>651</v>
      </c>
      <c r="C137" s="65" t="s">
        <v>219</v>
      </c>
      <c r="D137" s="68" t="s">
        <v>108</v>
      </c>
      <c r="E137" s="65"/>
      <c r="F137" s="69">
        <v>9.35</v>
      </c>
      <c r="G137" s="69">
        <f t="shared" si="11"/>
        <v>0</v>
      </c>
    </row>
    <row r="138" spans="1:7" s="61" customFormat="1">
      <c r="A138" s="65">
        <v>127</v>
      </c>
      <c r="B138" s="65" t="s">
        <v>651</v>
      </c>
      <c r="C138" s="65" t="s">
        <v>220</v>
      </c>
      <c r="D138" s="68" t="s">
        <v>108</v>
      </c>
      <c r="E138" s="65"/>
      <c r="F138" s="69">
        <v>19.75</v>
      </c>
      <c r="G138" s="69">
        <f t="shared" si="11"/>
        <v>0</v>
      </c>
    </row>
    <row r="139" spans="1:7" s="61" customFormat="1">
      <c r="A139" s="65">
        <v>128</v>
      </c>
      <c r="B139" s="65" t="s">
        <v>651</v>
      </c>
      <c r="C139" s="65" t="s">
        <v>221</v>
      </c>
      <c r="D139" s="68" t="s">
        <v>108</v>
      </c>
      <c r="E139" s="65"/>
      <c r="F139" s="69">
        <v>26</v>
      </c>
      <c r="G139" s="69">
        <f t="shared" si="11"/>
        <v>0</v>
      </c>
    </row>
    <row r="140" spans="1:7" s="61" customFormat="1">
      <c r="A140" s="65">
        <v>129</v>
      </c>
      <c r="B140" s="65" t="s">
        <v>651</v>
      </c>
      <c r="C140" s="65" t="s">
        <v>222</v>
      </c>
      <c r="D140" s="68" t="s">
        <v>108</v>
      </c>
      <c r="E140" s="65"/>
      <c r="F140" s="69">
        <v>24.15</v>
      </c>
      <c r="G140" s="69">
        <f t="shared" si="11"/>
        <v>0</v>
      </c>
    </row>
    <row r="141" spans="1:7" s="61" customFormat="1">
      <c r="A141" s="65">
        <v>130</v>
      </c>
      <c r="B141" s="65" t="s">
        <v>651</v>
      </c>
      <c r="C141" s="65" t="s">
        <v>593</v>
      </c>
      <c r="D141" s="68" t="s">
        <v>108</v>
      </c>
      <c r="E141" s="65"/>
      <c r="F141" s="69">
        <v>19.75</v>
      </c>
      <c r="G141" s="69">
        <f t="shared" si="11"/>
        <v>0</v>
      </c>
    </row>
    <row r="142" spans="1:7" s="61" customFormat="1">
      <c r="A142" s="65">
        <v>131</v>
      </c>
      <c r="B142" s="65" t="s">
        <v>651</v>
      </c>
      <c r="C142" s="65" t="s">
        <v>223</v>
      </c>
      <c r="D142" s="68" t="s">
        <v>108</v>
      </c>
      <c r="E142" s="65"/>
      <c r="F142" s="69">
        <v>26.35</v>
      </c>
      <c r="G142" s="69">
        <f t="shared" si="11"/>
        <v>0</v>
      </c>
    </row>
    <row r="143" spans="1:7" s="61" customFormat="1">
      <c r="A143" s="65">
        <v>132</v>
      </c>
      <c r="B143" s="65" t="s">
        <v>651</v>
      </c>
      <c r="C143" s="65" t="s">
        <v>224</v>
      </c>
      <c r="D143" s="68" t="s">
        <v>108</v>
      </c>
      <c r="E143" s="65"/>
      <c r="F143" s="69">
        <v>18.100000000000001</v>
      </c>
      <c r="G143" s="69">
        <f t="shared" si="11"/>
        <v>0</v>
      </c>
    </row>
    <row r="144" spans="1:7" s="61" customFormat="1">
      <c r="A144" s="65">
        <v>133</v>
      </c>
      <c r="B144" s="65" t="s">
        <v>651</v>
      </c>
      <c r="C144" s="65" t="s">
        <v>225</v>
      </c>
      <c r="D144" s="68" t="s">
        <v>108</v>
      </c>
      <c r="E144" s="65"/>
      <c r="F144" s="69">
        <v>27.9</v>
      </c>
      <c r="G144" s="69">
        <f t="shared" si="11"/>
        <v>0</v>
      </c>
    </row>
    <row r="145" spans="1:7" s="61" customFormat="1">
      <c r="A145" s="65">
        <v>134</v>
      </c>
      <c r="B145" s="65" t="s">
        <v>651</v>
      </c>
      <c r="C145" s="65" t="s">
        <v>226</v>
      </c>
      <c r="D145" s="68" t="s">
        <v>108</v>
      </c>
      <c r="E145" s="65"/>
      <c r="F145" s="69">
        <v>24.2</v>
      </c>
      <c r="G145" s="69">
        <f t="shared" si="11"/>
        <v>0</v>
      </c>
    </row>
    <row r="146" spans="1:7" s="61" customFormat="1">
      <c r="A146" s="65">
        <v>135</v>
      </c>
      <c r="B146" s="65" t="s">
        <v>651</v>
      </c>
      <c r="C146" s="65" t="s">
        <v>227</v>
      </c>
      <c r="D146" s="68" t="s">
        <v>108</v>
      </c>
      <c r="E146" s="65"/>
      <c r="F146" s="69">
        <v>24.15</v>
      </c>
      <c r="G146" s="69">
        <f t="shared" si="11"/>
        <v>0</v>
      </c>
    </row>
    <row r="147" spans="1:7" s="61" customFormat="1">
      <c r="A147" s="65">
        <v>136</v>
      </c>
      <c r="B147" s="65" t="s">
        <v>651</v>
      </c>
      <c r="C147" s="65" t="s">
        <v>228</v>
      </c>
      <c r="D147" s="68" t="s">
        <v>108</v>
      </c>
      <c r="E147" s="65"/>
      <c r="F147" s="69">
        <v>7.7</v>
      </c>
      <c r="G147" s="69">
        <f t="shared" si="11"/>
        <v>0</v>
      </c>
    </row>
    <row r="148" spans="1:7" s="61" customFormat="1">
      <c r="A148" s="65">
        <v>137</v>
      </c>
      <c r="B148" s="65" t="s">
        <v>595</v>
      </c>
      <c r="C148" s="65" t="s">
        <v>229</v>
      </c>
      <c r="D148" s="68" t="s">
        <v>108</v>
      </c>
      <c r="E148" s="65"/>
      <c r="F148" s="69">
        <v>1.65</v>
      </c>
      <c r="G148" s="69">
        <f t="shared" si="11"/>
        <v>0</v>
      </c>
    </row>
    <row r="149" spans="1:7" s="61" customFormat="1">
      <c r="A149" s="65">
        <v>138</v>
      </c>
      <c r="B149" s="65" t="s">
        <v>595</v>
      </c>
      <c r="C149" s="65" t="s">
        <v>230</v>
      </c>
      <c r="D149" s="68" t="s">
        <v>108</v>
      </c>
      <c r="E149" s="65"/>
      <c r="F149" s="69">
        <v>1.65</v>
      </c>
      <c r="G149" s="69">
        <f t="shared" si="11"/>
        <v>0</v>
      </c>
    </row>
    <row r="150" spans="1:7" s="61" customFormat="1">
      <c r="A150" s="65">
        <v>139</v>
      </c>
      <c r="B150" s="65" t="s">
        <v>595</v>
      </c>
      <c r="C150" s="65" t="s">
        <v>231</v>
      </c>
      <c r="D150" s="68" t="s">
        <v>108</v>
      </c>
      <c r="E150" s="65"/>
      <c r="F150" s="69">
        <v>1.65</v>
      </c>
      <c r="G150" s="69">
        <f t="shared" ref="G150:G191" si="12">E150*F150</f>
        <v>0</v>
      </c>
    </row>
    <row r="151" spans="1:7" s="61" customFormat="1">
      <c r="A151" s="65">
        <v>140</v>
      </c>
      <c r="B151" s="65" t="s">
        <v>595</v>
      </c>
      <c r="C151" s="65" t="s">
        <v>232</v>
      </c>
      <c r="D151" s="68" t="s">
        <v>108</v>
      </c>
      <c r="E151" s="65"/>
      <c r="F151" s="69">
        <v>1.65</v>
      </c>
      <c r="G151" s="69">
        <f t="shared" si="12"/>
        <v>0</v>
      </c>
    </row>
    <row r="152" spans="1:7" s="61" customFormat="1">
      <c r="A152" s="65">
        <v>141</v>
      </c>
      <c r="B152" s="65" t="s">
        <v>594</v>
      </c>
      <c r="C152" s="65" t="s">
        <v>562</v>
      </c>
      <c r="D152" s="68" t="s">
        <v>108</v>
      </c>
      <c r="E152" s="65"/>
      <c r="F152" s="69">
        <v>6.15</v>
      </c>
      <c r="G152" s="69">
        <f t="shared" si="12"/>
        <v>0</v>
      </c>
    </row>
    <row r="153" spans="1:7" s="61" customFormat="1">
      <c r="A153" s="65">
        <v>142</v>
      </c>
      <c r="B153" s="65" t="s">
        <v>594</v>
      </c>
      <c r="C153" s="65" t="s">
        <v>233</v>
      </c>
      <c r="D153" s="68" t="s">
        <v>108</v>
      </c>
      <c r="E153" s="65"/>
      <c r="F153" s="69">
        <v>13.15</v>
      </c>
      <c r="G153" s="69">
        <f t="shared" si="12"/>
        <v>0</v>
      </c>
    </row>
    <row r="154" spans="1:7" s="61" customFormat="1">
      <c r="A154" s="65">
        <v>143</v>
      </c>
      <c r="B154" s="65" t="s">
        <v>594</v>
      </c>
      <c r="C154" s="65" t="s">
        <v>234</v>
      </c>
      <c r="D154" s="68" t="s">
        <v>108</v>
      </c>
      <c r="E154" s="65"/>
      <c r="F154" s="69">
        <v>7.45</v>
      </c>
      <c r="G154" s="69">
        <f t="shared" si="12"/>
        <v>0</v>
      </c>
    </row>
    <row r="155" spans="1:7" s="61" customFormat="1">
      <c r="A155" s="65">
        <v>144</v>
      </c>
      <c r="B155" s="65" t="s">
        <v>594</v>
      </c>
      <c r="C155" s="65" t="s">
        <v>235</v>
      </c>
      <c r="D155" s="68" t="s">
        <v>108</v>
      </c>
      <c r="E155" s="65"/>
      <c r="F155" s="69">
        <v>7.45</v>
      </c>
      <c r="G155" s="69">
        <f t="shared" si="12"/>
        <v>0</v>
      </c>
    </row>
    <row r="156" spans="1:7" s="61" customFormat="1">
      <c r="A156" s="65">
        <v>145</v>
      </c>
      <c r="B156" s="65" t="s">
        <v>594</v>
      </c>
      <c r="C156" s="65" t="s">
        <v>236</v>
      </c>
      <c r="D156" s="68" t="s">
        <v>108</v>
      </c>
      <c r="E156" s="65"/>
      <c r="F156" s="69">
        <v>7.5</v>
      </c>
      <c r="G156" s="69">
        <f t="shared" si="12"/>
        <v>0</v>
      </c>
    </row>
    <row r="157" spans="1:7" s="61" customFormat="1">
      <c r="A157" s="65">
        <v>146</v>
      </c>
      <c r="B157" s="65" t="s">
        <v>594</v>
      </c>
      <c r="C157" s="65" t="s">
        <v>237</v>
      </c>
      <c r="D157" s="68" t="s">
        <v>108</v>
      </c>
      <c r="E157" s="65"/>
      <c r="F157" s="69">
        <v>5.2</v>
      </c>
      <c r="G157" s="69">
        <f t="shared" si="12"/>
        <v>0</v>
      </c>
    </row>
    <row r="158" spans="1:7" s="61" customFormat="1">
      <c r="A158" s="65">
        <v>147</v>
      </c>
      <c r="B158" s="65" t="s">
        <v>596</v>
      </c>
      <c r="C158" s="65" t="s">
        <v>238</v>
      </c>
      <c r="D158" s="68" t="s">
        <v>108</v>
      </c>
      <c r="E158" s="65">
        <v>30</v>
      </c>
      <c r="F158" s="69">
        <v>4</v>
      </c>
      <c r="G158" s="69">
        <f t="shared" si="12"/>
        <v>120</v>
      </c>
    </row>
    <row r="159" spans="1:7" s="61" customFormat="1">
      <c r="A159" s="65">
        <v>148</v>
      </c>
      <c r="B159" s="65" t="s">
        <v>596</v>
      </c>
      <c r="C159" s="65" t="s">
        <v>239</v>
      </c>
      <c r="D159" s="68" t="s">
        <v>108</v>
      </c>
      <c r="E159" s="65"/>
      <c r="F159" s="69">
        <v>1.1000000000000001</v>
      </c>
      <c r="G159" s="69">
        <f t="shared" si="12"/>
        <v>0</v>
      </c>
    </row>
    <row r="160" spans="1:7" s="61" customFormat="1">
      <c r="A160" s="65">
        <v>149</v>
      </c>
      <c r="B160" s="65" t="s">
        <v>596</v>
      </c>
      <c r="C160" s="65" t="s">
        <v>240</v>
      </c>
      <c r="D160" s="68" t="s">
        <v>108</v>
      </c>
      <c r="E160" s="65">
        <v>25</v>
      </c>
      <c r="F160" s="69">
        <v>1.1499999999999999</v>
      </c>
      <c r="G160" s="69">
        <f t="shared" si="12"/>
        <v>28.749999999999996</v>
      </c>
    </row>
    <row r="161" spans="1:7" s="61" customFormat="1">
      <c r="A161" s="65">
        <v>150</v>
      </c>
      <c r="B161" s="65" t="s">
        <v>596</v>
      </c>
      <c r="C161" s="65" t="s">
        <v>241</v>
      </c>
      <c r="D161" s="68" t="s">
        <v>108</v>
      </c>
      <c r="E161" s="65"/>
      <c r="F161" s="69">
        <v>7.8</v>
      </c>
      <c r="G161" s="69">
        <f t="shared" si="12"/>
        <v>0</v>
      </c>
    </row>
    <row r="162" spans="1:7" s="61" customFormat="1">
      <c r="A162" s="65">
        <v>151</v>
      </c>
      <c r="B162" s="65" t="s">
        <v>596</v>
      </c>
      <c r="C162" s="65" t="s">
        <v>242</v>
      </c>
      <c r="D162" s="68" t="s">
        <v>108</v>
      </c>
      <c r="E162" s="65"/>
      <c r="F162" s="69">
        <v>7.8</v>
      </c>
      <c r="G162" s="69">
        <f t="shared" si="12"/>
        <v>0</v>
      </c>
    </row>
    <row r="163" spans="1:7" s="61" customFormat="1">
      <c r="A163" s="65">
        <v>152</v>
      </c>
      <c r="B163" s="65" t="s">
        <v>596</v>
      </c>
      <c r="C163" s="65" t="s">
        <v>243</v>
      </c>
      <c r="D163" s="68" t="s">
        <v>108</v>
      </c>
      <c r="E163" s="65"/>
      <c r="F163" s="69">
        <v>7.75</v>
      </c>
      <c r="G163" s="69">
        <f t="shared" si="12"/>
        <v>0</v>
      </c>
    </row>
    <row r="164" spans="1:7" s="61" customFormat="1">
      <c r="A164" s="65">
        <v>153</v>
      </c>
      <c r="B164" s="65" t="s">
        <v>596</v>
      </c>
      <c r="C164" s="65" t="s">
        <v>244</v>
      </c>
      <c r="D164" s="68" t="s">
        <v>108</v>
      </c>
      <c r="E164" s="65"/>
      <c r="F164" s="69">
        <v>4.2</v>
      </c>
      <c r="G164" s="69">
        <f t="shared" si="12"/>
        <v>0</v>
      </c>
    </row>
    <row r="165" spans="1:7" s="61" customFormat="1">
      <c r="A165" s="65">
        <v>154</v>
      </c>
      <c r="B165" s="65" t="s">
        <v>596</v>
      </c>
      <c r="C165" s="65" t="s">
        <v>245</v>
      </c>
      <c r="D165" s="68" t="s">
        <v>108</v>
      </c>
      <c r="E165" s="65"/>
      <c r="F165" s="69">
        <v>5.15</v>
      </c>
      <c r="G165" s="69">
        <f t="shared" si="12"/>
        <v>0</v>
      </c>
    </row>
    <row r="166" spans="1:7" s="61" customFormat="1">
      <c r="A166" s="65">
        <v>155</v>
      </c>
      <c r="B166" s="65" t="s">
        <v>596</v>
      </c>
      <c r="C166" s="65" t="s">
        <v>246</v>
      </c>
      <c r="D166" s="68" t="s">
        <v>108</v>
      </c>
      <c r="E166" s="65"/>
      <c r="F166" s="69">
        <v>4.75</v>
      </c>
      <c r="G166" s="69">
        <f t="shared" si="12"/>
        <v>0</v>
      </c>
    </row>
    <row r="167" spans="1:7" s="61" customFormat="1">
      <c r="A167" s="65">
        <v>156</v>
      </c>
      <c r="B167" s="65" t="s">
        <v>596</v>
      </c>
      <c r="C167" s="65" t="s">
        <v>247</v>
      </c>
      <c r="D167" s="68" t="s">
        <v>108</v>
      </c>
      <c r="E167" s="65">
        <v>10</v>
      </c>
      <c r="F167" s="69">
        <v>3.9</v>
      </c>
      <c r="G167" s="69">
        <f t="shared" si="12"/>
        <v>39</v>
      </c>
    </row>
    <row r="168" spans="1:7" s="61" customFormat="1">
      <c r="A168" s="65">
        <v>157</v>
      </c>
      <c r="B168" s="65" t="s">
        <v>596</v>
      </c>
      <c r="C168" s="65" t="s">
        <v>248</v>
      </c>
      <c r="D168" s="68" t="s">
        <v>108</v>
      </c>
      <c r="E168" s="65"/>
      <c r="F168" s="69">
        <v>2.85</v>
      </c>
      <c r="G168" s="69">
        <f t="shared" si="12"/>
        <v>0</v>
      </c>
    </row>
    <row r="169" spans="1:7" s="61" customFormat="1">
      <c r="A169" s="65">
        <v>158</v>
      </c>
      <c r="B169" s="65" t="s">
        <v>596</v>
      </c>
      <c r="C169" s="65" t="s">
        <v>249</v>
      </c>
      <c r="D169" s="68" t="s">
        <v>108</v>
      </c>
      <c r="E169" s="65">
        <v>30</v>
      </c>
      <c r="F169" s="69">
        <v>2.95</v>
      </c>
      <c r="G169" s="69">
        <f t="shared" si="12"/>
        <v>88.5</v>
      </c>
    </row>
    <row r="170" spans="1:7" s="61" customFormat="1">
      <c r="A170" s="65">
        <v>159</v>
      </c>
      <c r="B170" s="65" t="s">
        <v>596</v>
      </c>
      <c r="C170" s="65" t="s">
        <v>250</v>
      </c>
      <c r="D170" s="68" t="s">
        <v>108</v>
      </c>
      <c r="E170" s="65"/>
      <c r="F170" s="69">
        <v>5.2</v>
      </c>
      <c r="G170" s="69">
        <f t="shared" si="12"/>
        <v>0</v>
      </c>
    </row>
    <row r="171" spans="1:7" s="61" customFormat="1">
      <c r="A171" s="65">
        <v>160</v>
      </c>
      <c r="B171" s="65" t="s">
        <v>596</v>
      </c>
      <c r="C171" s="65" t="s">
        <v>251</v>
      </c>
      <c r="D171" s="68" t="s">
        <v>108</v>
      </c>
      <c r="E171" s="65">
        <v>30</v>
      </c>
      <c r="F171" s="69">
        <v>2</v>
      </c>
      <c r="G171" s="69">
        <f t="shared" si="12"/>
        <v>60</v>
      </c>
    </row>
    <row r="172" spans="1:7" s="61" customFormat="1">
      <c r="A172" s="65">
        <v>161</v>
      </c>
      <c r="B172" s="65" t="s">
        <v>596</v>
      </c>
      <c r="C172" s="65" t="s">
        <v>252</v>
      </c>
      <c r="D172" s="68" t="s">
        <v>108</v>
      </c>
      <c r="E172" s="65"/>
      <c r="F172" s="69">
        <v>5.7</v>
      </c>
      <c r="G172" s="69">
        <f t="shared" si="12"/>
        <v>0</v>
      </c>
    </row>
    <row r="173" spans="1:7" s="61" customFormat="1">
      <c r="A173" s="65">
        <v>162</v>
      </c>
      <c r="B173" s="65" t="s">
        <v>596</v>
      </c>
      <c r="C173" s="65" t="s">
        <v>253</v>
      </c>
      <c r="D173" s="68" t="s">
        <v>108</v>
      </c>
      <c r="E173" s="65"/>
      <c r="F173" s="69">
        <v>6.75</v>
      </c>
      <c r="G173" s="69">
        <f t="shared" si="12"/>
        <v>0</v>
      </c>
    </row>
    <row r="174" spans="1:7" s="61" customFormat="1">
      <c r="A174" s="65">
        <v>163</v>
      </c>
      <c r="B174" s="65" t="s">
        <v>596</v>
      </c>
      <c r="C174" s="65" t="s">
        <v>254</v>
      </c>
      <c r="D174" s="68" t="s">
        <v>108</v>
      </c>
      <c r="E174" s="65"/>
      <c r="F174" s="69">
        <v>2.5499999999999998</v>
      </c>
      <c r="G174" s="69">
        <f t="shared" si="12"/>
        <v>0</v>
      </c>
    </row>
    <row r="175" spans="1:7" s="61" customFormat="1">
      <c r="A175" s="65">
        <v>164</v>
      </c>
      <c r="B175" s="65" t="s">
        <v>596</v>
      </c>
      <c r="C175" s="65" t="s">
        <v>255</v>
      </c>
      <c r="D175" s="68" t="s">
        <v>108</v>
      </c>
      <c r="E175" s="65"/>
      <c r="F175" s="69">
        <v>7.75</v>
      </c>
      <c r="G175" s="69">
        <f t="shared" si="12"/>
        <v>0</v>
      </c>
    </row>
    <row r="176" spans="1:7" s="61" customFormat="1">
      <c r="A176" s="65">
        <v>165</v>
      </c>
      <c r="B176" s="65" t="s">
        <v>596</v>
      </c>
      <c r="C176" s="65" t="s">
        <v>256</v>
      </c>
      <c r="D176" s="68" t="s">
        <v>108</v>
      </c>
      <c r="E176" s="65"/>
      <c r="F176" s="69">
        <v>8.5</v>
      </c>
      <c r="G176" s="69">
        <f t="shared" si="12"/>
        <v>0</v>
      </c>
    </row>
    <row r="177" spans="1:7" s="61" customFormat="1">
      <c r="A177" s="65">
        <v>166</v>
      </c>
      <c r="B177" s="65" t="s">
        <v>597</v>
      </c>
      <c r="C177" s="65" t="s">
        <v>598</v>
      </c>
      <c r="D177" s="68" t="s">
        <v>108</v>
      </c>
      <c r="E177" s="65"/>
      <c r="F177" s="69">
        <v>5.8</v>
      </c>
      <c r="G177" s="69">
        <f t="shared" si="12"/>
        <v>0</v>
      </c>
    </row>
    <row r="178" spans="1:7" s="61" customFormat="1">
      <c r="A178" s="65">
        <v>167</v>
      </c>
      <c r="B178" s="65" t="s">
        <v>597</v>
      </c>
      <c r="C178" s="65" t="s">
        <v>599</v>
      </c>
      <c r="D178" s="68" t="s">
        <v>108</v>
      </c>
      <c r="E178" s="65"/>
      <c r="F178" s="69">
        <v>4.2</v>
      </c>
      <c r="G178" s="69">
        <f t="shared" si="12"/>
        <v>0</v>
      </c>
    </row>
    <row r="179" spans="1:7" s="61" customFormat="1">
      <c r="A179" s="65">
        <v>168</v>
      </c>
      <c r="B179" s="65" t="s">
        <v>597</v>
      </c>
      <c r="C179" s="65" t="s">
        <v>257</v>
      </c>
      <c r="D179" s="68" t="s">
        <v>108</v>
      </c>
      <c r="E179" s="65"/>
      <c r="F179" s="69">
        <v>18.7</v>
      </c>
      <c r="G179" s="69">
        <f t="shared" si="12"/>
        <v>0</v>
      </c>
    </row>
    <row r="180" spans="1:7" s="61" customFormat="1">
      <c r="A180" s="65">
        <v>169</v>
      </c>
      <c r="B180" s="65" t="s">
        <v>597</v>
      </c>
      <c r="C180" s="65" t="s">
        <v>258</v>
      </c>
      <c r="D180" s="68" t="s">
        <v>108</v>
      </c>
      <c r="E180" s="65"/>
      <c r="F180" s="69">
        <v>29.5</v>
      </c>
      <c r="G180" s="69">
        <f t="shared" si="12"/>
        <v>0</v>
      </c>
    </row>
    <row r="181" spans="1:7" s="61" customFormat="1">
      <c r="A181" s="65">
        <v>170</v>
      </c>
      <c r="B181" s="65" t="s">
        <v>597</v>
      </c>
      <c r="C181" s="65" t="s">
        <v>259</v>
      </c>
      <c r="D181" s="68" t="s">
        <v>108</v>
      </c>
      <c r="E181" s="65"/>
      <c r="F181" s="69">
        <v>24.2</v>
      </c>
      <c r="G181" s="69">
        <f t="shared" si="12"/>
        <v>0</v>
      </c>
    </row>
    <row r="182" spans="1:7" s="61" customFormat="1">
      <c r="A182" s="65">
        <v>171</v>
      </c>
      <c r="B182" s="65" t="s">
        <v>597</v>
      </c>
      <c r="C182" s="65" t="s">
        <v>260</v>
      </c>
      <c r="D182" s="68" t="s">
        <v>108</v>
      </c>
      <c r="E182" s="65"/>
      <c r="F182" s="69">
        <v>10.9</v>
      </c>
      <c r="G182" s="69">
        <f t="shared" si="12"/>
        <v>0</v>
      </c>
    </row>
    <row r="183" spans="1:7" s="61" customFormat="1">
      <c r="A183" s="65">
        <v>172</v>
      </c>
      <c r="B183" s="65" t="s">
        <v>600</v>
      </c>
      <c r="C183" s="65" t="s">
        <v>261</v>
      </c>
      <c r="D183" s="68" t="s">
        <v>108</v>
      </c>
      <c r="E183" s="65"/>
      <c r="F183" s="69">
        <v>7.65</v>
      </c>
      <c r="G183" s="69">
        <f t="shared" si="12"/>
        <v>0</v>
      </c>
    </row>
    <row r="184" spans="1:7" s="61" customFormat="1">
      <c r="A184" s="65">
        <v>173</v>
      </c>
      <c r="B184" s="65" t="s">
        <v>600</v>
      </c>
      <c r="C184" s="65" t="s">
        <v>262</v>
      </c>
      <c r="D184" s="68" t="s">
        <v>108</v>
      </c>
      <c r="E184" s="65"/>
      <c r="F184" s="69">
        <v>6.7</v>
      </c>
      <c r="G184" s="69">
        <f t="shared" si="12"/>
        <v>0</v>
      </c>
    </row>
    <row r="185" spans="1:7" s="61" customFormat="1">
      <c r="A185" s="65">
        <v>174</v>
      </c>
      <c r="B185" s="65" t="s">
        <v>600</v>
      </c>
      <c r="C185" s="65" t="s">
        <v>263</v>
      </c>
      <c r="D185" s="68" t="s">
        <v>108</v>
      </c>
      <c r="E185" s="65"/>
      <c r="F185" s="69">
        <v>2.9</v>
      </c>
      <c r="G185" s="69">
        <f t="shared" si="12"/>
        <v>0</v>
      </c>
    </row>
    <row r="186" spans="1:7" s="61" customFormat="1">
      <c r="A186" s="65">
        <v>175</v>
      </c>
      <c r="B186" s="65" t="s">
        <v>600</v>
      </c>
      <c r="C186" s="65" t="s">
        <v>264</v>
      </c>
      <c r="D186" s="68" t="s">
        <v>108</v>
      </c>
      <c r="E186" s="65"/>
      <c r="F186" s="69">
        <v>12.5</v>
      </c>
      <c r="G186" s="69">
        <f t="shared" si="12"/>
        <v>0</v>
      </c>
    </row>
    <row r="187" spans="1:7" s="61" customFormat="1">
      <c r="A187" s="65">
        <v>176</v>
      </c>
      <c r="B187" s="65" t="s">
        <v>600</v>
      </c>
      <c r="C187" s="65" t="s">
        <v>265</v>
      </c>
      <c r="D187" s="68" t="s">
        <v>108</v>
      </c>
      <c r="E187" s="65"/>
      <c r="F187" s="69">
        <v>5.5</v>
      </c>
      <c r="G187" s="69">
        <f t="shared" si="12"/>
        <v>0</v>
      </c>
    </row>
    <row r="188" spans="1:7" s="61" customFormat="1">
      <c r="A188" s="65">
        <v>177</v>
      </c>
      <c r="B188" s="65" t="s">
        <v>600</v>
      </c>
      <c r="C188" s="65" t="s">
        <v>266</v>
      </c>
      <c r="D188" s="68" t="s">
        <v>108</v>
      </c>
      <c r="E188" s="65"/>
      <c r="F188" s="69">
        <v>2.9</v>
      </c>
      <c r="G188" s="69">
        <f t="shared" si="12"/>
        <v>0</v>
      </c>
    </row>
    <row r="189" spans="1:7" s="61" customFormat="1">
      <c r="A189" s="65">
        <v>178</v>
      </c>
      <c r="B189" s="65" t="s">
        <v>600</v>
      </c>
      <c r="C189" s="65" t="s">
        <v>267</v>
      </c>
      <c r="D189" s="68" t="s">
        <v>108</v>
      </c>
      <c r="E189" s="65"/>
      <c r="F189" s="69">
        <v>9.9</v>
      </c>
      <c r="G189" s="69">
        <f t="shared" si="12"/>
        <v>0</v>
      </c>
    </row>
    <row r="190" spans="1:7" s="61" customFormat="1">
      <c r="A190" s="65">
        <v>179</v>
      </c>
      <c r="B190" s="65" t="s">
        <v>601</v>
      </c>
      <c r="C190" s="65" t="s">
        <v>268</v>
      </c>
      <c r="D190" s="68" t="s">
        <v>108</v>
      </c>
      <c r="E190" s="65"/>
      <c r="F190" s="69">
        <v>3.5</v>
      </c>
      <c r="G190" s="69">
        <f t="shared" si="12"/>
        <v>0</v>
      </c>
    </row>
    <row r="191" spans="1:7" s="61" customFormat="1">
      <c r="A191" s="65">
        <v>180</v>
      </c>
      <c r="B191" s="65" t="s">
        <v>601</v>
      </c>
      <c r="C191" s="65" t="s">
        <v>269</v>
      </c>
      <c r="D191" s="68" t="s">
        <v>108</v>
      </c>
      <c r="E191" s="65"/>
      <c r="F191" s="69">
        <v>4</v>
      </c>
      <c r="G191" s="69">
        <f t="shared" si="12"/>
        <v>0</v>
      </c>
    </row>
    <row r="192" spans="1:7" s="61" customFormat="1">
      <c r="A192" s="65">
        <v>181</v>
      </c>
      <c r="B192" s="65" t="s">
        <v>602</v>
      </c>
      <c r="C192" s="65" t="s">
        <v>270</v>
      </c>
      <c r="D192" s="68" t="s">
        <v>108</v>
      </c>
      <c r="E192" s="65"/>
      <c r="F192" s="69">
        <v>10.8</v>
      </c>
      <c r="G192" s="69">
        <f t="shared" ref="G192:G234" si="13">E192*F192</f>
        <v>0</v>
      </c>
    </row>
    <row r="193" spans="1:7" s="61" customFormat="1">
      <c r="A193" s="65">
        <v>182</v>
      </c>
      <c r="B193" s="65" t="s">
        <v>602</v>
      </c>
      <c r="C193" s="65" t="s">
        <v>271</v>
      </c>
      <c r="D193" s="68" t="s">
        <v>108</v>
      </c>
      <c r="E193" s="65"/>
      <c r="F193" s="69">
        <v>25</v>
      </c>
      <c r="G193" s="69">
        <f t="shared" si="13"/>
        <v>0</v>
      </c>
    </row>
    <row r="194" spans="1:7" s="61" customFormat="1">
      <c r="A194" s="65">
        <v>183</v>
      </c>
      <c r="B194" s="65" t="s">
        <v>602</v>
      </c>
      <c r="C194" s="65" t="s">
        <v>272</v>
      </c>
      <c r="D194" s="68" t="s">
        <v>108</v>
      </c>
      <c r="E194" s="65"/>
      <c r="F194" s="69">
        <v>6.45</v>
      </c>
      <c r="G194" s="69">
        <f t="shared" si="13"/>
        <v>0</v>
      </c>
    </row>
    <row r="195" spans="1:7" s="61" customFormat="1">
      <c r="A195" s="65">
        <v>184</v>
      </c>
      <c r="B195" s="65" t="s">
        <v>602</v>
      </c>
      <c r="C195" s="65" t="s">
        <v>273</v>
      </c>
      <c r="D195" s="68" t="s">
        <v>108</v>
      </c>
      <c r="E195" s="65"/>
      <c r="F195" s="69">
        <v>25</v>
      </c>
      <c r="G195" s="69">
        <f t="shared" si="13"/>
        <v>0</v>
      </c>
    </row>
    <row r="196" spans="1:7" s="61" customFormat="1">
      <c r="A196" s="65">
        <v>185</v>
      </c>
      <c r="B196" s="65" t="s">
        <v>602</v>
      </c>
      <c r="C196" s="65" t="s">
        <v>275</v>
      </c>
      <c r="D196" s="68" t="s">
        <v>108</v>
      </c>
      <c r="E196" s="65"/>
      <c r="F196" s="69">
        <v>15.35</v>
      </c>
      <c r="G196" s="69">
        <f t="shared" si="13"/>
        <v>0</v>
      </c>
    </row>
    <row r="197" spans="1:7" s="61" customFormat="1">
      <c r="A197" s="65">
        <v>186</v>
      </c>
      <c r="B197" s="65" t="s">
        <v>602</v>
      </c>
      <c r="C197" s="65" t="s">
        <v>276</v>
      </c>
      <c r="D197" s="68" t="s">
        <v>108</v>
      </c>
      <c r="E197" s="65"/>
      <c r="F197" s="69">
        <v>13.15</v>
      </c>
      <c r="G197" s="69">
        <f t="shared" si="13"/>
        <v>0</v>
      </c>
    </row>
    <row r="198" spans="1:7" s="61" customFormat="1">
      <c r="A198" s="65">
        <v>187</v>
      </c>
      <c r="B198" s="65" t="s">
        <v>603</v>
      </c>
      <c r="C198" s="65" t="s">
        <v>277</v>
      </c>
      <c r="D198" s="68" t="s">
        <v>108</v>
      </c>
      <c r="E198" s="65"/>
      <c r="F198" s="69">
        <v>20</v>
      </c>
      <c r="G198" s="69">
        <f t="shared" si="13"/>
        <v>0</v>
      </c>
    </row>
    <row r="199" spans="1:7" s="61" customFormat="1">
      <c r="A199" s="65">
        <v>188</v>
      </c>
      <c r="B199" s="65" t="s">
        <v>603</v>
      </c>
      <c r="C199" s="65" t="s">
        <v>278</v>
      </c>
      <c r="D199" s="68" t="s">
        <v>108</v>
      </c>
      <c r="E199" s="65"/>
      <c r="F199" s="69">
        <v>25</v>
      </c>
      <c r="G199" s="69">
        <f t="shared" si="13"/>
        <v>0</v>
      </c>
    </row>
    <row r="200" spans="1:7" s="61" customFormat="1">
      <c r="A200" s="65">
        <v>189</v>
      </c>
      <c r="B200" s="65" t="s">
        <v>603</v>
      </c>
      <c r="C200" s="65" t="s">
        <v>279</v>
      </c>
      <c r="D200" s="68" t="s">
        <v>108</v>
      </c>
      <c r="E200" s="65"/>
      <c r="F200" s="69">
        <v>10.1</v>
      </c>
      <c r="G200" s="69">
        <f t="shared" si="13"/>
        <v>0</v>
      </c>
    </row>
    <row r="201" spans="1:7" s="61" customFormat="1">
      <c r="A201" s="65">
        <v>190</v>
      </c>
      <c r="B201" s="65" t="s">
        <v>603</v>
      </c>
      <c r="C201" s="65" t="s">
        <v>280</v>
      </c>
      <c r="D201" s="68" t="s">
        <v>108</v>
      </c>
      <c r="E201" s="65"/>
      <c r="F201" s="69">
        <v>1.35</v>
      </c>
      <c r="G201" s="69">
        <f t="shared" si="13"/>
        <v>0</v>
      </c>
    </row>
    <row r="202" spans="1:7" s="61" customFormat="1">
      <c r="A202" s="65">
        <v>191</v>
      </c>
      <c r="B202" s="65" t="s">
        <v>603</v>
      </c>
      <c r="C202" s="65" t="s">
        <v>281</v>
      </c>
      <c r="D202" s="68" t="s">
        <v>108</v>
      </c>
      <c r="E202" s="65"/>
      <c r="F202" s="69">
        <v>6.45</v>
      </c>
      <c r="G202" s="69">
        <f t="shared" si="13"/>
        <v>0</v>
      </c>
    </row>
    <row r="203" spans="1:7" s="61" customFormat="1">
      <c r="A203" s="65">
        <v>192</v>
      </c>
      <c r="B203" s="65" t="s">
        <v>603</v>
      </c>
      <c r="C203" s="65" t="s">
        <v>282</v>
      </c>
      <c r="D203" s="68" t="s">
        <v>108</v>
      </c>
      <c r="E203" s="65"/>
      <c r="F203" s="69">
        <v>8.15</v>
      </c>
      <c r="G203" s="69">
        <f t="shared" si="13"/>
        <v>0</v>
      </c>
    </row>
    <row r="204" spans="1:7" s="61" customFormat="1">
      <c r="A204" s="65">
        <v>193</v>
      </c>
      <c r="B204" s="65" t="s">
        <v>603</v>
      </c>
      <c r="C204" s="65" t="s">
        <v>283</v>
      </c>
      <c r="D204" s="68" t="s">
        <v>108</v>
      </c>
      <c r="E204" s="65"/>
      <c r="F204" s="69">
        <v>1.1000000000000001</v>
      </c>
      <c r="G204" s="69">
        <f t="shared" si="13"/>
        <v>0</v>
      </c>
    </row>
    <row r="205" spans="1:7" s="61" customFormat="1">
      <c r="A205" s="65">
        <v>194</v>
      </c>
      <c r="B205" s="65" t="s">
        <v>603</v>
      </c>
      <c r="C205" s="65" t="s">
        <v>284</v>
      </c>
      <c r="D205" s="68" t="s">
        <v>108</v>
      </c>
      <c r="E205" s="65"/>
      <c r="F205" s="69">
        <v>1.1000000000000001</v>
      </c>
      <c r="G205" s="69">
        <f t="shared" si="13"/>
        <v>0</v>
      </c>
    </row>
    <row r="206" spans="1:7" s="61" customFormat="1">
      <c r="A206" s="65">
        <v>195</v>
      </c>
      <c r="B206" s="65" t="s">
        <v>603</v>
      </c>
      <c r="C206" s="65" t="s">
        <v>285</v>
      </c>
      <c r="D206" s="68" t="s">
        <v>108</v>
      </c>
      <c r="E206" s="65"/>
      <c r="F206" s="69">
        <v>1.1000000000000001</v>
      </c>
      <c r="G206" s="69">
        <f t="shared" si="13"/>
        <v>0</v>
      </c>
    </row>
    <row r="207" spans="1:7" s="61" customFormat="1">
      <c r="A207" s="65">
        <v>196</v>
      </c>
      <c r="B207" s="65" t="s">
        <v>603</v>
      </c>
      <c r="C207" s="65" t="s">
        <v>286</v>
      </c>
      <c r="D207" s="68" t="s">
        <v>108</v>
      </c>
      <c r="E207" s="65"/>
      <c r="F207" s="69">
        <v>1.1000000000000001</v>
      </c>
      <c r="G207" s="69">
        <f t="shared" si="13"/>
        <v>0</v>
      </c>
    </row>
    <row r="208" spans="1:7" s="61" customFormat="1">
      <c r="A208" s="65">
        <v>197</v>
      </c>
      <c r="B208" s="65" t="s">
        <v>603</v>
      </c>
      <c r="C208" s="65" t="s">
        <v>284</v>
      </c>
      <c r="D208" s="68" t="s">
        <v>108</v>
      </c>
      <c r="E208" s="65"/>
      <c r="F208" s="69">
        <v>1.1000000000000001</v>
      </c>
      <c r="G208" s="69">
        <f t="shared" si="13"/>
        <v>0</v>
      </c>
    </row>
    <row r="209" spans="1:7" s="61" customFormat="1">
      <c r="A209" s="65">
        <v>198</v>
      </c>
      <c r="B209" s="65" t="s">
        <v>604</v>
      </c>
      <c r="C209" s="65" t="s">
        <v>287</v>
      </c>
      <c r="D209" s="68" t="s">
        <v>108</v>
      </c>
      <c r="E209" s="65"/>
      <c r="F209" s="69">
        <v>2.2999999999999998</v>
      </c>
      <c r="G209" s="69">
        <f t="shared" si="13"/>
        <v>0</v>
      </c>
    </row>
    <row r="210" spans="1:7" s="61" customFormat="1">
      <c r="A210" s="65">
        <v>199</v>
      </c>
      <c r="B210" s="65" t="s">
        <v>604</v>
      </c>
      <c r="C210" s="65" t="s">
        <v>288</v>
      </c>
      <c r="D210" s="68" t="s">
        <v>108</v>
      </c>
      <c r="E210" s="65"/>
      <c r="F210" s="69">
        <v>2.4</v>
      </c>
      <c r="G210" s="69">
        <f t="shared" si="13"/>
        <v>0</v>
      </c>
    </row>
    <row r="211" spans="1:7" s="61" customFormat="1">
      <c r="A211" s="65">
        <v>200</v>
      </c>
      <c r="B211" s="65" t="s">
        <v>604</v>
      </c>
      <c r="C211" s="65" t="s">
        <v>289</v>
      </c>
      <c r="D211" s="68" t="s">
        <v>108</v>
      </c>
      <c r="E211" s="65"/>
      <c r="F211" s="69">
        <v>2.4</v>
      </c>
      <c r="G211" s="69">
        <f t="shared" si="13"/>
        <v>0</v>
      </c>
    </row>
    <row r="212" spans="1:7" s="61" customFormat="1">
      <c r="A212" s="65">
        <v>201</v>
      </c>
      <c r="B212" s="65" t="s">
        <v>604</v>
      </c>
      <c r="C212" s="65" t="s">
        <v>290</v>
      </c>
      <c r="D212" s="68" t="s">
        <v>108</v>
      </c>
      <c r="E212" s="65"/>
      <c r="F212" s="69">
        <v>2.4</v>
      </c>
      <c r="G212" s="69">
        <f t="shared" si="13"/>
        <v>0</v>
      </c>
    </row>
    <row r="213" spans="1:7" s="61" customFormat="1">
      <c r="A213" s="65">
        <v>202</v>
      </c>
      <c r="B213" s="65" t="s">
        <v>604</v>
      </c>
      <c r="C213" s="65" t="s">
        <v>291</v>
      </c>
      <c r="D213" s="68" t="s">
        <v>108</v>
      </c>
      <c r="E213" s="65"/>
      <c r="F213" s="69">
        <v>2.4</v>
      </c>
      <c r="G213" s="69">
        <f t="shared" si="13"/>
        <v>0</v>
      </c>
    </row>
    <row r="214" spans="1:7" s="61" customFormat="1">
      <c r="A214" s="65">
        <v>203</v>
      </c>
      <c r="B214" s="65" t="s">
        <v>604</v>
      </c>
      <c r="C214" s="65" t="s">
        <v>292</v>
      </c>
      <c r="D214" s="68" t="s">
        <v>108</v>
      </c>
      <c r="E214" s="65"/>
      <c r="F214" s="69">
        <v>2.4</v>
      </c>
      <c r="G214" s="69">
        <f t="shared" si="13"/>
        <v>0</v>
      </c>
    </row>
    <row r="215" spans="1:7" s="61" customFormat="1">
      <c r="A215" s="65">
        <v>204</v>
      </c>
      <c r="B215" s="65" t="s">
        <v>604</v>
      </c>
      <c r="C215" s="65" t="s">
        <v>293</v>
      </c>
      <c r="D215" s="68" t="s">
        <v>108</v>
      </c>
      <c r="E215" s="65"/>
      <c r="F215" s="69">
        <v>2.4</v>
      </c>
      <c r="G215" s="69">
        <f t="shared" si="13"/>
        <v>0</v>
      </c>
    </row>
    <row r="216" spans="1:7" s="61" customFormat="1">
      <c r="A216" s="65">
        <v>205</v>
      </c>
      <c r="B216" s="65" t="s">
        <v>604</v>
      </c>
      <c r="C216" s="65" t="s">
        <v>294</v>
      </c>
      <c r="D216" s="68" t="s">
        <v>108</v>
      </c>
      <c r="E216" s="65"/>
      <c r="F216" s="69">
        <v>2.4</v>
      </c>
      <c r="G216" s="69">
        <f t="shared" si="13"/>
        <v>0</v>
      </c>
    </row>
    <row r="217" spans="1:7" s="61" customFormat="1">
      <c r="A217" s="65">
        <v>206</v>
      </c>
      <c r="B217" s="65" t="s">
        <v>604</v>
      </c>
      <c r="C217" s="65" t="s">
        <v>295</v>
      </c>
      <c r="D217" s="68" t="s">
        <v>108</v>
      </c>
      <c r="E217" s="65"/>
      <c r="F217" s="69">
        <v>2.6</v>
      </c>
      <c r="G217" s="69">
        <f t="shared" si="13"/>
        <v>0</v>
      </c>
    </row>
    <row r="218" spans="1:7" s="61" customFormat="1">
      <c r="A218" s="65">
        <v>207</v>
      </c>
      <c r="B218" s="65" t="s">
        <v>605</v>
      </c>
      <c r="C218" s="65" t="s">
        <v>296</v>
      </c>
      <c r="D218" s="68" t="s">
        <v>108</v>
      </c>
      <c r="E218" s="65"/>
      <c r="F218" s="69">
        <v>7.8</v>
      </c>
      <c r="G218" s="69">
        <f t="shared" si="13"/>
        <v>0</v>
      </c>
    </row>
    <row r="219" spans="1:7" s="61" customFormat="1">
      <c r="A219" s="65">
        <v>208</v>
      </c>
      <c r="B219" s="65" t="s">
        <v>605</v>
      </c>
      <c r="C219" s="65" t="s">
        <v>297</v>
      </c>
      <c r="D219" s="68" t="s">
        <v>108</v>
      </c>
      <c r="E219" s="65"/>
      <c r="F219" s="69">
        <v>3.35</v>
      </c>
      <c r="G219" s="69">
        <f t="shared" si="13"/>
        <v>0</v>
      </c>
    </row>
    <row r="220" spans="1:7" s="61" customFormat="1">
      <c r="A220" s="65">
        <v>209</v>
      </c>
      <c r="B220" s="65" t="s">
        <v>605</v>
      </c>
      <c r="C220" s="65" t="s">
        <v>298</v>
      </c>
      <c r="D220" s="68" t="s">
        <v>108</v>
      </c>
      <c r="E220" s="65"/>
      <c r="F220" s="69">
        <v>3.3</v>
      </c>
      <c r="G220" s="69">
        <f t="shared" si="13"/>
        <v>0</v>
      </c>
    </row>
    <row r="221" spans="1:7" s="61" customFormat="1">
      <c r="A221" s="65">
        <v>210</v>
      </c>
      <c r="B221" s="65" t="s">
        <v>605</v>
      </c>
      <c r="C221" s="65" t="s">
        <v>299</v>
      </c>
      <c r="D221" s="68" t="s">
        <v>108</v>
      </c>
      <c r="E221" s="65"/>
      <c r="F221" s="69">
        <v>2.2999999999999998</v>
      </c>
      <c r="G221" s="69">
        <f t="shared" si="13"/>
        <v>0</v>
      </c>
    </row>
    <row r="222" spans="1:7" s="61" customFormat="1">
      <c r="A222" s="65">
        <v>211</v>
      </c>
      <c r="B222" s="65" t="s">
        <v>605</v>
      </c>
      <c r="C222" s="65" t="s">
        <v>300</v>
      </c>
      <c r="D222" s="68" t="s">
        <v>108</v>
      </c>
      <c r="E222" s="65">
        <v>60</v>
      </c>
      <c r="F222" s="69">
        <v>2.2999999999999998</v>
      </c>
      <c r="G222" s="69">
        <f t="shared" si="13"/>
        <v>138</v>
      </c>
    </row>
    <row r="223" spans="1:7" s="61" customFormat="1">
      <c r="A223" s="65">
        <v>212</v>
      </c>
      <c r="B223" s="65" t="s">
        <v>605</v>
      </c>
      <c r="C223" s="65" t="s">
        <v>301</v>
      </c>
      <c r="D223" s="68" t="s">
        <v>108</v>
      </c>
      <c r="E223" s="65"/>
      <c r="F223" s="69">
        <v>4.4000000000000004</v>
      </c>
      <c r="G223" s="69">
        <f t="shared" si="13"/>
        <v>0</v>
      </c>
    </row>
    <row r="224" spans="1:7" s="61" customFormat="1">
      <c r="A224" s="65">
        <v>213</v>
      </c>
      <c r="B224" s="65" t="s">
        <v>605</v>
      </c>
      <c r="C224" s="65" t="s">
        <v>302</v>
      </c>
      <c r="D224" s="68" t="s">
        <v>108</v>
      </c>
      <c r="E224" s="65"/>
      <c r="F224" s="69">
        <v>4.55</v>
      </c>
      <c r="G224" s="69">
        <f t="shared" si="13"/>
        <v>0</v>
      </c>
    </row>
    <row r="225" spans="1:7" s="61" customFormat="1">
      <c r="A225" s="65">
        <v>214</v>
      </c>
      <c r="B225" s="65" t="s">
        <v>605</v>
      </c>
      <c r="C225" s="65" t="s">
        <v>303</v>
      </c>
      <c r="D225" s="68" t="s">
        <v>108</v>
      </c>
      <c r="E225" s="65"/>
      <c r="F225" s="69">
        <v>20.25</v>
      </c>
      <c r="G225" s="69">
        <f t="shared" si="13"/>
        <v>0</v>
      </c>
    </row>
    <row r="226" spans="1:7" s="61" customFormat="1">
      <c r="A226" s="65">
        <v>215</v>
      </c>
      <c r="B226" s="65" t="s">
        <v>605</v>
      </c>
      <c r="C226" s="65" t="s">
        <v>304</v>
      </c>
      <c r="D226" s="68" t="s">
        <v>108</v>
      </c>
      <c r="E226" s="65"/>
      <c r="F226" s="69">
        <v>15</v>
      </c>
      <c r="G226" s="69">
        <f t="shared" si="13"/>
        <v>0</v>
      </c>
    </row>
    <row r="227" spans="1:7" s="61" customFormat="1">
      <c r="A227" s="65">
        <v>216</v>
      </c>
      <c r="B227" s="65" t="s">
        <v>605</v>
      </c>
      <c r="C227" s="65" t="s">
        <v>305</v>
      </c>
      <c r="D227" s="68" t="s">
        <v>108</v>
      </c>
      <c r="E227" s="65"/>
      <c r="F227" s="69">
        <v>9.75</v>
      </c>
      <c r="G227" s="69">
        <f t="shared" si="13"/>
        <v>0</v>
      </c>
    </row>
    <row r="228" spans="1:7" s="61" customFormat="1">
      <c r="A228" s="65">
        <v>217</v>
      </c>
      <c r="B228" s="65" t="s">
        <v>605</v>
      </c>
      <c r="C228" s="65" t="s">
        <v>306</v>
      </c>
      <c r="D228" s="68" t="s">
        <v>108</v>
      </c>
      <c r="E228" s="65"/>
      <c r="F228" s="69">
        <v>9.1</v>
      </c>
      <c r="G228" s="69">
        <f t="shared" si="13"/>
        <v>0</v>
      </c>
    </row>
    <row r="229" spans="1:7" s="61" customFormat="1">
      <c r="A229" s="65">
        <v>218</v>
      </c>
      <c r="B229" s="65" t="s">
        <v>606</v>
      </c>
      <c r="C229" s="65" t="s">
        <v>307</v>
      </c>
      <c r="D229" s="68" t="s">
        <v>108</v>
      </c>
      <c r="E229" s="65"/>
      <c r="F229" s="69">
        <v>5.25</v>
      </c>
      <c r="G229" s="69">
        <f t="shared" si="13"/>
        <v>0</v>
      </c>
    </row>
    <row r="230" spans="1:7" s="61" customFormat="1">
      <c r="A230" s="65">
        <v>219</v>
      </c>
      <c r="B230" s="65" t="s">
        <v>606</v>
      </c>
      <c r="C230" s="65" t="s">
        <v>308</v>
      </c>
      <c r="D230" s="68" t="s">
        <v>108</v>
      </c>
      <c r="E230" s="65"/>
      <c r="F230" s="69">
        <v>7.75</v>
      </c>
      <c r="G230" s="69">
        <f t="shared" si="13"/>
        <v>0</v>
      </c>
    </row>
    <row r="231" spans="1:7" s="61" customFormat="1">
      <c r="A231" s="65">
        <v>220</v>
      </c>
      <c r="B231" s="65" t="s">
        <v>607</v>
      </c>
      <c r="C231" s="65" t="s">
        <v>309</v>
      </c>
      <c r="D231" s="68" t="s">
        <v>108</v>
      </c>
      <c r="E231" s="65"/>
      <c r="F231" s="69">
        <v>21</v>
      </c>
      <c r="G231" s="69">
        <f t="shared" si="13"/>
        <v>0</v>
      </c>
    </row>
    <row r="232" spans="1:7" s="61" customFormat="1">
      <c r="A232" s="65">
        <v>221</v>
      </c>
      <c r="B232" s="65" t="s">
        <v>607</v>
      </c>
      <c r="C232" s="65" t="s">
        <v>310</v>
      </c>
      <c r="D232" s="68" t="s">
        <v>108</v>
      </c>
      <c r="E232" s="65"/>
      <c r="F232" s="69">
        <v>7.45</v>
      </c>
      <c r="G232" s="69">
        <f t="shared" si="13"/>
        <v>0</v>
      </c>
    </row>
    <row r="233" spans="1:7" s="61" customFormat="1">
      <c r="A233" s="65">
        <v>222</v>
      </c>
      <c r="B233" s="65" t="s">
        <v>607</v>
      </c>
      <c r="C233" s="65" t="s">
        <v>311</v>
      </c>
      <c r="D233" s="68" t="s">
        <v>108</v>
      </c>
      <c r="E233" s="65"/>
      <c r="F233" s="69">
        <v>7.2</v>
      </c>
      <c r="G233" s="69">
        <f t="shared" si="13"/>
        <v>0</v>
      </c>
    </row>
    <row r="234" spans="1:7" s="61" customFormat="1">
      <c r="A234" s="65">
        <v>223</v>
      </c>
      <c r="B234" s="65" t="s">
        <v>314</v>
      </c>
      <c r="C234" s="65" t="s">
        <v>312</v>
      </c>
      <c r="D234" s="68" t="s">
        <v>108</v>
      </c>
      <c r="E234" s="65"/>
      <c r="F234" s="69">
        <v>15.2</v>
      </c>
      <c r="G234" s="69">
        <f t="shared" si="13"/>
        <v>0</v>
      </c>
    </row>
    <row r="235" spans="1:7" s="61" customFormat="1">
      <c r="A235" s="65">
        <v>224</v>
      </c>
      <c r="B235" s="65" t="s">
        <v>314</v>
      </c>
      <c r="C235" s="65" t="s">
        <v>313</v>
      </c>
      <c r="D235" s="68" t="s">
        <v>108</v>
      </c>
      <c r="E235" s="65"/>
      <c r="F235" s="69">
        <v>28.6</v>
      </c>
      <c r="G235" s="69">
        <f t="shared" ref="G235:G272" si="14">E235*F235</f>
        <v>0</v>
      </c>
    </row>
    <row r="236" spans="1:7" s="61" customFormat="1">
      <c r="A236" s="65">
        <v>225</v>
      </c>
      <c r="B236" s="65" t="s">
        <v>314</v>
      </c>
      <c r="C236" s="65" t="s">
        <v>608</v>
      </c>
      <c r="D236" s="68" t="s">
        <v>108</v>
      </c>
      <c r="E236" s="65"/>
      <c r="F236" s="69">
        <v>26.35</v>
      </c>
      <c r="G236" s="69">
        <f t="shared" si="14"/>
        <v>0</v>
      </c>
    </row>
    <row r="237" spans="1:7" s="61" customFormat="1">
      <c r="A237" s="65">
        <v>226</v>
      </c>
      <c r="B237" s="65" t="s">
        <v>609</v>
      </c>
      <c r="C237" s="65" t="s">
        <v>315</v>
      </c>
      <c r="D237" s="68" t="s">
        <v>108</v>
      </c>
      <c r="E237" s="65"/>
      <c r="F237" s="69">
        <v>7.25</v>
      </c>
      <c r="G237" s="69">
        <f t="shared" si="14"/>
        <v>0</v>
      </c>
    </row>
    <row r="238" spans="1:7" s="61" customFormat="1">
      <c r="A238" s="65">
        <v>227</v>
      </c>
      <c r="B238" s="65" t="s">
        <v>609</v>
      </c>
      <c r="C238" s="65" t="s">
        <v>316</v>
      </c>
      <c r="D238" s="68" t="s">
        <v>108</v>
      </c>
      <c r="E238" s="65"/>
      <c r="F238" s="69">
        <v>7.2</v>
      </c>
      <c r="G238" s="69">
        <f t="shared" si="14"/>
        <v>0</v>
      </c>
    </row>
    <row r="239" spans="1:7" s="61" customFormat="1">
      <c r="A239" s="65">
        <v>228</v>
      </c>
      <c r="B239" s="65" t="s">
        <v>610</v>
      </c>
      <c r="C239" s="65" t="s">
        <v>317</v>
      </c>
      <c r="D239" s="68" t="s">
        <v>108</v>
      </c>
      <c r="E239" s="65"/>
      <c r="F239" s="69">
        <v>6.35</v>
      </c>
      <c r="G239" s="69">
        <f t="shared" si="14"/>
        <v>0</v>
      </c>
    </row>
    <row r="240" spans="1:7" s="61" customFormat="1">
      <c r="A240" s="65">
        <v>229</v>
      </c>
      <c r="B240" s="65" t="s">
        <v>610</v>
      </c>
      <c r="C240" s="65" t="s">
        <v>318</v>
      </c>
      <c r="D240" s="68" t="s">
        <v>108</v>
      </c>
      <c r="E240" s="65"/>
      <c r="F240" s="69">
        <v>6.4</v>
      </c>
      <c r="G240" s="69">
        <f t="shared" si="14"/>
        <v>0</v>
      </c>
    </row>
    <row r="241" spans="1:7" s="61" customFormat="1">
      <c r="A241" s="65">
        <v>230</v>
      </c>
      <c r="B241" s="65" t="s">
        <v>610</v>
      </c>
      <c r="C241" s="65" t="s">
        <v>319</v>
      </c>
      <c r="D241" s="68" t="s">
        <v>108</v>
      </c>
      <c r="E241" s="65"/>
      <c r="F241" s="69">
        <v>7.5</v>
      </c>
      <c r="G241" s="69">
        <f t="shared" si="14"/>
        <v>0</v>
      </c>
    </row>
    <row r="242" spans="1:7" s="61" customFormat="1">
      <c r="A242" s="65">
        <v>231</v>
      </c>
      <c r="B242" s="65" t="s">
        <v>610</v>
      </c>
      <c r="C242" s="65" t="s">
        <v>320</v>
      </c>
      <c r="D242" s="68" t="s">
        <v>108</v>
      </c>
      <c r="E242" s="65"/>
      <c r="F242" s="69">
        <v>5.3</v>
      </c>
      <c r="G242" s="69">
        <f t="shared" si="14"/>
        <v>0</v>
      </c>
    </row>
    <row r="243" spans="1:7" s="61" customFormat="1">
      <c r="A243" s="65">
        <v>232</v>
      </c>
      <c r="B243" s="65" t="s">
        <v>610</v>
      </c>
      <c r="C243" s="65" t="s">
        <v>321</v>
      </c>
      <c r="D243" s="68" t="s">
        <v>108</v>
      </c>
      <c r="E243" s="65"/>
      <c r="F243" s="69">
        <v>5.3</v>
      </c>
      <c r="G243" s="69">
        <f t="shared" si="14"/>
        <v>0</v>
      </c>
    </row>
    <row r="244" spans="1:7" s="61" customFormat="1">
      <c r="A244" s="65">
        <v>233</v>
      </c>
      <c r="B244" s="65" t="s">
        <v>610</v>
      </c>
      <c r="C244" s="65" t="s">
        <v>322</v>
      </c>
      <c r="D244" s="68" t="s">
        <v>108</v>
      </c>
      <c r="E244" s="65"/>
      <c r="F244" s="69">
        <v>5.3</v>
      </c>
      <c r="G244" s="69">
        <f t="shared" si="14"/>
        <v>0</v>
      </c>
    </row>
    <row r="245" spans="1:7" s="61" customFormat="1">
      <c r="A245" s="65">
        <v>234</v>
      </c>
      <c r="B245" s="65" t="s">
        <v>610</v>
      </c>
      <c r="C245" s="65" t="s">
        <v>323</v>
      </c>
      <c r="D245" s="68" t="s">
        <v>108</v>
      </c>
      <c r="E245" s="65"/>
      <c r="F245" s="69">
        <v>5.7</v>
      </c>
      <c r="G245" s="69">
        <f t="shared" si="14"/>
        <v>0</v>
      </c>
    </row>
    <row r="246" spans="1:7" s="61" customFormat="1">
      <c r="A246" s="65">
        <v>235</v>
      </c>
      <c r="B246" s="65" t="s">
        <v>610</v>
      </c>
      <c r="C246" s="65" t="s">
        <v>324</v>
      </c>
      <c r="D246" s="68" t="s">
        <v>108</v>
      </c>
      <c r="E246" s="65"/>
      <c r="F246" s="69">
        <v>5.7</v>
      </c>
      <c r="G246" s="69">
        <f t="shared" si="14"/>
        <v>0</v>
      </c>
    </row>
    <row r="247" spans="1:7" s="61" customFormat="1">
      <c r="A247" s="65">
        <v>236</v>
      </c>
      <c r="B247" s="65" t="s">
        <v>610</v>
      </c>
      <c r="C247" s="65" t="s">
        <v>325</v>
      </c>
      <c r="D247" s="68" t="s">
        <v>108</v>
      </c>
      <c r="E247" s="65"/>
      <c r="F247" s="69">
        <v>5.7</v>
      </c>
      <c r="G247" s="69">
        <f t="shared" si="14"/>
        <v>0</v>
      </c>
    </row>
    <row r="248" spans="1:7" s="61" customFormat="1">
      <c r="A248" s="65">
        <v>237</v>
      </c>
      <c r="B248" s="65" t="s">
        <v>611</v>
      </c>
      <c r="C248" s="65" t="s">
        <v>326</v>
      </c>
      <c r="D248" s="68" t="s">
        <v>108</v>
      </c>
      <c r="E248" s="65"/>
      <c r="F248" s="69">
        <v>5.9</v>
      </c>
      <c r="G248" s="69">
        <f t="shared" si="14"/>
        <v>0</v>
      </c>
    </row>
    <row r="249" spans="1:7" s="61" customFormat="1">
      <c r="A249" s="65">
        <v>238</v>
      </c>
      <c r="B249" s="65" t="s">
        <v>612</v>
      </c>
      <c r="C249" s="65" t="s">
        <v>327</v>
      </c>
      <c r="D249" s="68" t="s">
        <v>108</v>
      </c>
      <c r="E249" s="65"/>
      <c r="F249" s="69">
        <v>5.8</v>
      </c>
      <c r="G249" s="69">
        <f t="shared" si="14"/>
        <v>0</v>
      </c>
    </row>
    <row r="250" spans="1:7" s="61" customFormat="1">
      <c r="A250" s="65">
        <v>239</v>
      </c>
      <c r="B250" s="65" t="s">
        <v>613</v>
      </c>
      <c r="C250" s="65" t="s">
        <v>328</v>
      </c>
      <c r="D250" s="68" t="s">
        <v>108</v>
      </c>
      <c r="E250" s="65"/>
      <c r="F250" s="69">
        <v>14.2</v>
      </c>
      <c r="G250" s="69">
        <f t="shared" si="14"/>
        <v>0</v>
      </c>
    </row>
    <row r="251" spans="1:7" s="61" customFormat="1">
      <c r="A251" s="65">
        <v>240</v>
      </c>
      <c r="B251" s="65" t="s">
        <v>613</v>
      </c>
      <c r="C251" s="65" t="s">
        <v>329</v>
      </c>
      <c r="D251" s="68" t="s">
        <v>108</v>
      </c>
      <c r="E251" s="65"/>
      <c r="F251" s="69">
        <v>7.2</v>
      </c>
      <c r="G251" s="69">
        <f t="shared" si="14"/>
        <v>0</v>
      </c>
    </row>
    <row r="252" spans="1:7" s="61" customFormat="1">
      <c r="A252" s="65">
        <v>241</v>
      </c>
      <c r="B252" s="65" t="s">
        <v>613</v>
      </c>
      <c r="C252" s="65" t="s">
        <v>330</v>
      </c>
      <c r="D252" s="68" t="s">
        <v>108</v>
      </c>
      <c r="E252" s="65"/>
      <c r="F252" s="69">
        <v>6.5</v>
      </c>
      <c r="G252" s="69">
        <f t="shared" si="14"/>
        <v>0</v>
      </c>
    </row>
    <row r="253" spans="1:7" s="61" customFormat="1">
      <c r="A253" s="65">
        <v>242</v>
      </c>
      <c r="B253" s="65" t="s">
        <v>613</v>
      </c>
      <c r="C253" s="65" t="s">
        <v>331</v>
      </c>
      <c r="D253" s="68" t="s">
        <v>108</v>
      </c>
      <c r="E253" s="65"/>
      <c r="F253" s="69">
        <v>5</v>
      </c>
      <c r="G253" s="69">
        <f t="shared" si="14"/>
        <v>0</v>
      </c>
    </row>
    <row r="254" spans="1:7" s="61" customFormat="1">
      <c r="A254" s="65">
        <v>243</v>
      </c>
      <c r="B254" s="65" t="s">
        <v>613</v>
      </c>
      <c r="C254" s="65" t="s">
        <v>332</v>
      </c>
      <c r="D254" s="68" t="s">
        <v>108</v>
      </c>
      <c r="E254" s="65"/>
      <c r="F254" s="69">
        <v>2.5</v>
      </c>
      <c r="G254" s="69">
        <f t="shared" si="14"/>
        <v>0</v>
      </c>
    </row>
    <row r="255" spans="1:7" s="61" customFormat="1">
      <c r="A255" s="65">
        <v>244</v>
      </c>
      <c r="B255" s="65" t="s">
        <v>613</v>
      </c>
      <c r="C255" s="65" t="s">
        <v>333</v>
      </c>
      <c r="D255" s="68" t="s">
        <v>108</v>
      </c>
      <c r="E255" s="65"/>
      <c r="F255" s="69">
        <v>6.75</v>
      </c>
      <c r="G255" s="69">
        <f t="shared" si="14"/>
        <v>0</v>
      </c>
    </row>
    <row r="256" spans="1:7" s="61" customFormat="1">
      <c r="A256" s="65">
        <v>245</v>
      </c>
      <c r="B256" s="65" t="s">
        <v>613</v>
      </c>
      <c r="C256" s="65" t="s">
        <v>334</v>
      </c>
      <c r="D256" s="68" t="s">
        <v>108</v>
      </c>
      <c r="E256" s="65">
        <v>20</v>
      </c>
      <c r="F256" s="69">
        <v>5.85</v>
      </c>
      <c r="G256" s="69">
        <f t="shared" si="14"/>
        <v>117</v>
      </c>
    </row>
    <row r="257" spans="1:7" s="61" customFormat="1">
      <c r="A257" s="65">
        <v>246</v>
      </c>
      <c r="B257" s="65" t="s">
        <v>613</v>
      </c>
      <c r="C257" s="65" t="s">
        <v>335</v>
      </c>
      <c r="D257" s="68" t="s">
        <v>108</v>
      </c>
      <c r="E257" s="65"/>
      <c r="F257" s="69">
        <v>10</v>
      </c>
      <c r="G257" s="69">
        <f t="shared" si="14"/>
        <v>0</v>
      </c>
    </row>
    <row r="258" spans="1:7" s="61" customFormat="1">
      <c r="A258" s="65">
        <v>247</v>
      </c>
      <c r="B258" s="65" t="s">
        <v>613</v>
      </c>
      <c r="C258" s="65" t="s">
        <v>336</v>
      </c>
      <c r="D258" s="68" t="s">
        <v>108</v>
      </c>
      <c r="E258" s="65"/>
      <c r="F258" s="69">
        <v>5.45</v>
      </c>
      <c r="G258" s="69">
        <f t="shared" si="14"/>
        <v>0</v>
      </c>
    </row>
    <row r="259" spans="1:7" s="61" customFormat="1">
      <c r="A259" s="65">
        <v>248</v>
      </c>
      <c r="B259" s="65" t="s">
        <v>613</v>
      </c>
      <c r="C259" s="65" t="s">
        <v>337</v>
      </c>
      <c r="D259" s="68" t="s">
        <v>108</v>
      </c>
      <c r="E259" s="65"/>
      <c r="F259" s="69">
        <v>5</v>
      </c>
      <c r="G259" s="69">
        <f t="shared" si="14"/>
        <v>0</v>
      </c>
    </row>
    <row r="260" spans="1:7" s="61" customFormat="1">
      <c r="A260" s="65">
        <v>249</v>
      </c>
      <c r="B260" s="65" t="s">
        <v>614</v>
      </c>
      <c r="C260" s="65" t="s">
        <v>338</v>
      </c>
      <c r="D260" s="68" t="s">
        <v>108</v>
      </c>
      <c r="E260" s="65"/>
      <c r="F260" s="69">
        <v>1.95</v>
      </c>
      <c r="G260" s="69">
        <f t="shared" si="14"/>
        <v>0</v>
      </c>
    </row>
    <row r="261" spans="1:7" s="61" customFormat="1">
      <c r="A261" s="65">
        <v>250</v>
      </c>
      <c r="B261" s="65" t="s">
        <v>614</v>
      </c>
      <c r="C261" s="65" t="s">
        <v>339</v>
      </c>
      <c r="D261" s="68" t="s">
        <v>108</v>
      </c>
      <c r="E261" s="65"/>
      <c r="F261" s="69">
        <v>4.55</v>
      </c>
      <c r="G261" s="69">
        <f t="shared" si="14"/>
        <v>0</v>
      </c>
    </row>
    <row r="262" spans="1:7" s="61" customFormat="1">
      <c r="A262" s="65">
        <v>251</v>
      </c>
      <c r="B262" s="65" t="s">
        <v>614</v>
      </c>
      <c r="C262" s="65" t="s">
        <v>340</v>
      </c>
      <c r="D262" s="68" t="s">
        <v>108</v>
      </c>
      <c r="E262" s="65"/>
      <c r="F262" s="69">
        <v>4.5999999999999996</v>
      </c>
      <c r="G262" s="69">
        <f t="shared" si="14"/>
        <v>0</v>
      </c>
    </row>
    <row r="263" spans="1:7" s="61" customFormat="1">
      <c r="A263" s="65">
        <v>252</v>
      </c>
      <c r="B263" s="65" t="s">
        <v>614</v>
      </c>
      <c r="C263" s="65" t="s">
        <v>341</v>
      </c>
      <c r="D263" s="68" t="s">
        <v>108</v>
      </c>
      <c r="E263" s="65"/>
      <c r="F263" s="69">
        <v>4.5999999999999996</v>
      </c>
      <c r="G263" s="69">
        <f t="shared" si="14"/>
        <v>0</v>
      </c>
    </row>
    <row r="264" spans="1:7" s="61" customFormat="1">
      <c r="A264" s="65">
        <v>253</v>
      </c>
      <c r="B264" s="65" t="s">
        <v>614</v>
      </c>
      <c r="C264" s="65" t="s">
        <v>342</v>
      </c>
      <c r="D264" s="68" t="s">
        <v>108</v>
      </c>
      <c r="E264" s="65"/>
      <c r="F264" s="69">
        <v>3.7</v>
      </c>
      <c r="G264" s="69">
        <f t="shared" si="14"/>
        <v>0</v>
      </c>
    </row>
    <row r="265" spans="1:7" s="61" customFormat="1">
      <c r="A265" s="65">
        <v>254</v>
      </c>
      <c r="B265" s="65" t="s">
        <v>614</v>
      </c>
      <c r="C265" s="65" t="s">
        <v>343</v>
      </c>
      <c r="D265" s="68" t="s">
        <v>108</v>
      </c>
      <c r="E265" s="65"/>
      <c r="F265" s="69">
        <v>2.4</v>
      </c>
      <c r="G265" s="69">
        <f t="shared" si="14"/>
        <v>0</v>
      </c>
    </row>
    <row r="266" spans="1:7" s="61" customFormat="1">
      <c r="A266" s="65">
        <v>255</v>
      </c>
      <c r="B266" s="65" t="s">
        <v>614</v>
      </c>
      <c r="C266" s="65" t="s">
        <v>344</v>
      </c>
      <c r="D266" s="68" t="s">
        <v>108</v>
      </c>
      <c r="E266" s="65"/>
      <c r="F266" s="69">
        <v>5.3</v>
      </c>
      <c r="G266" s="69">
        <f t="shared" si="14"/>
        <v>0</v>
      </c>
    </row>
    <row r="267" spans="1:7" s="61" customFormat="1">
      <c r="A267" s="65">
        <v>256</v>
      </c>
      <c r="B267" s="65" t="s">
        <v>615</v>
      </c>
      <c r="C267" s="65" t="s">
        <v>345</v>
      </c>
      <c r="D267" s="68" t="s">
        <v>108</v>
      </c>
      <c r="E267" s="65"/>
      <c r="F267" s="69">
        <v>5.3</v>
      </c>
      <c r="G267" s="69">
        <f t="shared" si="14"/>
        <v>0</v>
      </c>
    </row>
    <row r="268" spans="1:7" s="61" customFormat="1">
      <c r="A268" s="65">
        <v>257</v>
      </c>
      <c r="B268" s="65" t="s">
        <v>615</v>
      </c>
      <c r="C268" s="65" t="s">
        <v>346</v>
      </c>
      <c r="D268" s="68" t="s">
        <v>108</v>
      </c>
      <c r="E268" s="65"/>
      <c r="F268" s="69">
        <v>3.05</v>
      </c>
      <c r="G268" s="69">
        <f t="shared" si="14"/>
        <v>0</v>
      </c>
    </row>
    <row r="269" spans="1:7" s="61" customFormat="1">
      <c r="A269" s="65">
        <v>258</v>
      </c>
      <c r="B269" s="65" t="s">
        <v>615</v>
      </c>
      <c r="C269" s="65" t="s">
        <v>347</v>
      </c>
      <c r="D269" s="68" t="s">
        <v>108</v>
      </c>
      <c r="E269" s="65"/>
      <c r="F269" s="69">
        <v>4.2</v>
      </c>
      <c r="G269" s="69">
        <f t="shared" si="14"/>
        <v>0</v>
      </c>
    </row>
    <row r="270" spans="1:7" s="61" customFormat="1">
      <c r="A270" s="65">
        <v>259</v>
      </c>
      <c r="B270" s="65" t="s">
        <v>615</v>
      </c>
      <c r="C270" s="65" t="s">
        <v>348</v>
      </c>
      <c r="D270" s="68" t="s">
        <v>108</v>
      </c>
      <c r="E270" s="65"/>
      <c r="F270" s="69">
        <v>4.1500000000000004</v>
      </c>
      <c r="G270" s="69">
        <f t="shared" si="14"/>
        <v>0</v>
      </c>
    </row>
    <row r="271" spans="1:7" s="61" customFormat="1">
      <c r="A271" s="65">
        <v>260</v>
      </c>
      <c r="B271" s="65" t="s">
        <v>615</v>
      </c>
      <c r="C271" s="65" t="s">
        <v>349</v>
      </c>
      <c r="D271" s="68" t="s">
        <v>108</v>
      </c>
      <c r="E271" s="65"/>
      <c r="F271" s="69">
        <v>5.3</v>
      </c>
      <c r="G271" s="69">
        <f t="shared" si="14"/>
        <v>0</v>
      </c>
    </row>
    <row r="272" spans="1:7" s="61" customFormat="1">
      <c r="A272" s="65">
        <v>261</v>
      </c>
      <c r="B272" s="65" t="s">
        <v>615</v>
      </c>
      <c r="C272" s="65" t="s">
        <v>350</v>
      </c>
      <c r="D272" s="68" t="s">
        <v>108</v>
      </c>
      <c r="E272" s="65"/>
      <c r="F272" s="69">
        <v>4.6500000000000004</v>
      </c>
      <c r="G272" s="69">
        <f t="shared" si="14"/>
        <v>0</v>
      </c>
    </row>
    <row r="273" spans="1:7" s="61" customFormat="1">
      <c r="A273" s="65">
        <v>262</v>
      </c>
      <c r="B273" s="65" t="s">
        <v>615</v>
      </c>
      <c r="C273" s="65" t="s">
        <v>351</v>
      </c>
      <c r="D273" s="68" t="s">
        <v>108</v>
      </c>
      <c r="E273" s="65">
        <v>10</v>
      </c>
      <c r="F273" s="69">
        <v>4.3499999999999996</v>
      </c>
      <c r="G273" s="69">
        <f t="shared" ref="G273:G320" si="15">E273*F273</f>
        <v>43.5</v>
      </c>
    </row>
    <row r="274" spans="1:7" s="61" customFormat="1">
      <c r="A274" s="65">
        <v>263</v>
      </c>
      <c r="B274" s="65" t="s">
        <v>615</v>
      </c>
      <c r="C274" s="65" t="s">
        <v>352</v>
      </c>
      <c r="D274" s="68" t="s">
        <v>108</v>
      </c>
      <c r="E274" s="65"/>
      <c r="F274" s="69">
        <v>1.6</v>
      </c>
      <c r="G274" s="69">
        <f t="shared" si="15"/>
        <v>0</v>
      </c>
    </row>
    <row r="275" spans="1:7" s="61" customFormat="1">
      <c r="A275" s="65">
        <v>264</v>
      </c>
      <c r="B275" s="65" t="s">
        <v>615</v>
      </c>
      <c r="C275" s="65" t="s">
        <v>353</v>
      </c>
      <c r="D275" s="68" t="s">
        <v>108</v>
      </c>
      <c r="E275" s="65"/>
      <c r="F275" s="69">
        <v>1.6</v>
      </c>
      <c r="G275" s="69">
        <f t="shared" si="15"/>
        <v>0</v>
      </c>
    </row>
    <row r="276" spans="1:7" s="61" customFormat="1">
      <c r="A276" s="65">
        <v>265</v>
      </c>
      <c r="B276" s="65" t="s">
        <v>615</v>
      </c>
      <c r="C276" s="65" t="s">
        <v>354</v>
      </c>
      <c r="D276" s="68" t="s">
        <v>108</v>
      </c>
      <c r="E276" s="65"/>
      <c r="F276" s="69">
        <v>5.25</v>
      </c>
      <c r="G276" s="69">
        <f t="shared" si="15"/>
        <v>0</v>
      </c>
    </row>
    <row r="277" spans="1:7" s="61" customFormat="1">
      <c r="A277" s="65">
        <v>266</v>
      </c>
      <c r="B277" s="65" t="s">
        <v>615</v>
      </c>
      <c r="C277" s="65" t="s">
        <v>355</v>
      </c>
      <c r="D277" s="68" t="s">
        <v>108</v>
      </c>
      <c r="E277" s="65"/>
      <c r="F277" s="69">
        <v>3.3</v>
      </c>
      <c r="G277" s="69">
        <f t="shared" si="15"/>
        <v>0</v>
      </c>
    </row>
    <row r="278" spans="1:7" s="61" customFormat="1">
      <c r="A278" s="65">
        <v>267</v>
      </c>
      <c r="B278" s="65" t="s">
        <v>615</v>
      </c>
      <c r="C278" s="65" t="s">
        <v>356</v>
      </c>
      <c r="D278" s="68" t="s">
        <v>108</v>
      </c>
      <c r="E278" s="65"/>
      <c r="F278" s="69">
        <v>1.4</v>
      </c>
      <c r="G278" s="69">
        <f t="shared" si="15"/>
        <v>0</v>
      </c>
    </row>
    <row r="279" spans="1:7" s="61" customFormat="1">
      <c r="A279" s="65">
        <v>268</v>
      </c>
      <c r="B279" s="65" t="s">
        <v>615</v>
      </c>
      <c r="C279" s="65" t="s">
        <v>357</v>
      </c>
      <c r="D279" s="68" t="s">
        <v>108</v>
      </c>
      <c r="E279" s="65"/>
      <c r="F279" s="69">
        <v>6</v>
      </c>
      <c r="G279" s="69">
        <f t="shared" si="15"/>
        <v>0</v>
      </c>
    </row>
    <row r="280" spans="1:7" s="61" customFormat="1">
      <c r="A280" s="65">
        <v>269</v>
      </c>
      <c r="B280" s="65" t="s">
        <v>615</v>
      </c>
      <c r="C280" s="65" t="s">
        <v>358</v>
      </c>
      <c r="D280" s="68" t="s">
        <v>108</v>
      </c>
      <c r="E280" s="65"/>
      <c r="F280" s="69">
        <v>6</v>
      </c>
      <c r="G280" s="69">
        <f t="shared" si="15"/>
        <v>0</v>
      </c>
    </row>
    <row r="281" spans="1:7" s="61" customFormat="1">
      <c r="A281" s="65">
        <v>270</v>
      </c>
      <c r="B281" s="65" t="s">
        <v>615</v>
      </c>
      <c r="C281" s="65" t="s">
        <v>359</v>
      </c>
      <c r="D281" s="68" t="s">
        <v>108</v>
      </c>
      <c r="E281" s="65"/>
      <c r="F281" s="69">
        <v>6.35</v>
      </c>
      <c r="G281" s="69">
        <f t="shared" si="15"/>
        <v>0</v>
      </c>
    </row>
    <row r="282" spans="1:7" s="61" customFormat="1">
      <c r="A282" s="65">
        <v>271</v>
      </c>
      <c r="B282" s="65" t="s">
        <v>615</v>
      </c>
      <c r="C282" s="65" t="s">
        <v>360</v>
      </c>
      <c r="D282" s="68" t="s">
        <v>108</v>
      </c>
      <c r="E282" s="65"/>
      <c r="F282" s="69">
        <v>4</v>
      </c>
      <c r="G282" s="69">
        <f t="shared" si="15"/>
        <v>0</v>
      </c>
    </row>
    <row r="283" spans="1:7" s="61" customFormat="1">
      <c r="A283" s="65">
        <v>272</v>
      </c>
      <c r="B283" s="65" t="s">
        <v>617</v>
      </c>
      <c r="C283" s="65" t="s">
        <v>616</v>
      </c>
      <c r="D283" s="68" t="s">
        <v>108</v>
      </c>
      <c r="E283" s="65"/>
      <c r="F283" s="69">
        <v>0.3</v>
      </c>
      <c r="G283" s="69">
        <f t="shared" si="15"/>
        <v>0</v>
      </c>
    </row>
    <row r="284" spans="1:7" s="61" customFormat="1">
      <c r="A284" s="65">
        <v>273</v>
      </c>
      <c r="B284" s="65" t="s">
        <v>618</v>
      </c>
      <c r="C284" s="65" t="s">
        <v>361</v>
      </c>
      <c r="D284" s="68" t="s">
        <v>108</v>
      </c>
      <c r="E284" s="65"/>
      <c r="F284" s="69">
        <v>8.25</v>
      </c>
      <c r="G284" s="69">
        <f t="shared" si="15"/>
        <v>0</v>
      </c>
    </row>
    <row r="285" spans="1:7" s="61" customFormat="1">
      <c r="A285" s="65">
        <v>274</v>
      </c>
      <c r="B285" s="65" t="s">
        <v>618</v>
      </c>
      <c r="C285" s="65" t="s">
        <v>362</v>
      </c>
      <c r="D285" s="68" t="s">
        <v>108</v>
      </c>
      <c r="E285" s="65"/>
      <c r="F285" s="69">
        <v>15.2</v>
      </c>
      <c r="G285" s="69">
        <f t="shared" si="15"/>
        <v>0</v>
      </c>
    </row>
    <row r="286" spans="1:7" s="61" customFormat="1">
      <c r="A286" s="65">
        <v>275</v>
      </c>
      <c r="B286" s="65" t="s">
        <v>618</v>
      </c>
      <c r="C286" s="65" t="s">
        <v>363</v>
      </c>
      <c r="D286" s="68" t="s">
        <v>108</v>
      </c>
      <c r="E286" s="65"/>
      <c r="F286" s="69">
        <v>12.25</v>
      </c>
      <c r="G286" s="69">
        <f t="shared" si="15"/>
        <v>0</v>
      </c>
    </row>
    <row r="287" spans="1:7" s="61" customFormat="1">
      <c r="A287" s="65">
        <v>276</v>
      </c>
      <c r="B287" s="65" t="s">
        <v>618</v>
      </c>
      <c r="C287" s="65" t="s">
        <v>364</v>
      </c>
      <c r="D287" s="68" t="s">
        <v>108</v>
      </c>
      <c r="E287" s="65"/>
      <c r="F287" s="69">
        <v>2.75</v>
      </c>
      <c r="G287" s="69">
        <f t="shared" si="15"/>
        <v>0</v>
      </c>
    </row>
    <row r="288" spans="1:7" s="61" customFormat="1">
      <c r="A288" s="65">
        <v>277</v>
      </c>
      <c r="B288" s="65" t="s">
        <v>618</v>
      </c>
      <c r="C288" s="65" t="s">
        <v>365</v>
      </c>
      <c r="D288" s="68" t="s">
        <v>108</v>
      </c>
      <c r="E288" s="65"/>
      <c r="F288" s="69">
        <v>3.15</v>
      </c>
      <c r="G288" s="69">
        <f t="shared" si="15"/>
        <v>0</v>
      </c>
    </row>
    <row r="289" spans="1:7" s="61" customFormat="1">
      <c r="A289" s="65">
        <v>278</v>
      </c>
      <c r="B289" s="65" t="s">
        <v>618</v>
      </c>
      <c r="C289" s="65" t="s">
        <v>366</v>
      </c>
      <c r="D289" s="68" t="s">
        <v>108</v>
      </c>
      <c r="E289" s="65">
        <v>40</v>
      </c>
      <c r="F289" s="69">
        <v>2.75</v>
      </c>
      <c r="G289" s="69">
        <f t="shared" si="15"/>
        <v>110</v>
      </c>
    </row>
    <row r="290" spans="1:7" s="61" customFormat="1">
      <c r="A290" s="65">
        <v>279</v>
      </c>
      <c r="B290" s="65" t="s">
        <v>618</v>
      </c>
      <c r="C290" s="65" t="s">
        <v>367</v>
      </c>
      <c r="D290" s="68" t="s">
        <v>108</v>
      </c>
      <c r="E290" s="65"/>
      <c r="F290" s="69">
        <v>3.15</v>
      </c>
      <c r="G290" s="69">
        <f t="shared" si="15"/>
        <v>0</v>
      </c>
    </row>
    <row r="291" spans="1:7" s="61" customFormat="1">
      <c r="A291" s="65">
        <v>280</v>
      </c>
      <c r="B291" s="65" t="s">
        <v>618</v>
      </c>
      <c r="C291" s="65" t="s">
        <v>368</v>
      </c>
      <c r="D291" s="68" t="s">
        <v>108</v>
      </c>
      <c r="E291" s="65"/>
      <c r="F291" s="69">
        <v>3.15</v>
      </c>
      <c r="G291" s="69">
        <f t="shared" si="15"/>
        <v>0</v>
      </c>
    </row>
    <row r="292" spans="1:7" s="61" customFormat="1">
      <c r="A292" s="65">
        <v>281</v>
      </c>
      <c r="B292" s="65" t="s">
        <v>618</v>
      </c>
      <c r="C292" s="65" t="s">
        <v>369</v>
      </c>
      <c r="D292" s="68" t="s">
        <v>108</v>
      </c>
      <c r="E292" s="65"/>
      <c r="F292" s="69">
        <v>3.15</v>
      </c>
      <c r="G292" s="69">
        <f t="shared" si="15"/>
        <v>0</v>
      </c>
    </row>
    <row r="293" spans="1:7" s="61" customFormat="1">
      <c r="A293" s="65">
        <v>282</v>
      </c>
      <c r="B293" s="65" t="s">
        <v>618</v>
      </c>
      <c r="C293" s="65" t="s">
        <v>370</v>
      </c>
      <c r="D293" s="68" t="s">
        <v>108</v>
      </c>
      <c r="E293" s="65"/>
      <c r="F293" s="69">
        <v>4.45</v>
      </c>
      <c r="G293" s="69">
        <f t="shared" si="15"/>
        <v>0</v>
      </c>
    </row>
    <row r="294" spans="1:7" s="61" customFormat="1">
      <c r="A294" s="65">
        <v>283</v>
      </c>
      <c r="B294" s="65" t="s">
        <v>619</v>
      </c>
      <c r="C294" s="65" t="s">
        <v>371</v>
      </c>
      <c r="D294" s="68" t="s">
        <v>108</v>
      </c>
      <c r="E294" s="65"/>
      <c r="F294" s="69">
        <v>18.5</v>
      </c>
      <c r="G294" s="69">
        <f t="shared" si="15"/>
        <v>0</v>
      </c>
    </row>
    <row r="295" spans="1:7" s="61" customFormat="1">
      <c r="A295" s="65">
        <v>284</v>
      </c>
      <c r="B295" s="65" t="s">
        <v>619</v>
      </c>
      <c r="C295" s="65" t="s">
        <v>372</v>
      </c>
      <c r="D295" s="68" t="s">
        <v>108</v>
      </c>
      <c r="E295" s="65"/>
      <c r="F295" s="69">
        <v>10</v>
      </c>
      <c r="G295" s="69">
        <f t="shared" si="15"/>
        <v>0</v>
      </c>
    </row>
    <row r="296" spans="1:7" s="61" customFormat="1">
      <c r="A296" s="65">
        <v>285</v>
      </c>
      <c r="B296" s="65" t="s">
        <v>619</v>
      </c>
      <c r="C296" s="65" t="s">
        <v>373</v>
      </c>
      <c r="D296" s="68" t="s">
        <v>108</v>
      </c>
      <c r="E296" s="65"/>
      <c r="F296" s="69">
        <v>11.25</v>
      </c>
      <c r="G296" s="69">
        <f t="shared" si="15"/>
        <v>0</v>
      </c>
    </row>
    <row r="297" spans="1:7" s="61" customFormat="1">
      <c r="A297" s="65">
        <v>286</v>
      </c>
      <c r="B297" s="65" t="s">
        <v>620</v>
      </c>
      <c r="C297" s="65" t="s">
        <v>374</v>
      </c>
      <c r="D297" s="68" t="s">
        <v>108</v>
      </c>
      <c r="E297" s="65"/>
      <c r="F297" s="69">
        <v>6.5</v>
      </c>
      <c r="G297" s="69">
        <f t="shared" si="15"/>
        <v>0</v>
      </c>
    </row>
    <row r="298" spans="1:7" s="61" customFormat="1">
      <c r="A298" s="65">
        <v>287</v>
      </c>
      <c r="B298" s="65" t="s">
        <v>620</v>
      </c>
      <c r="C298" s="65" t="s">
        <v>375</v>
      </c>
      <c r="D298" s="68" t="s">
        <v>108</v>
      </c>
      <c r="E298" s="65"/>
      <c r="F298" s="69">
        <v>14.5</v>
      </c>
      <c r="G298" s="69">
        <f t="shared" si="15"/>
        <v>0</v>
      </c>
    </row>
    <row r="299" spans="1:7" s="61" customFormat="1">
      <c r="A299" s="65">
        <v>288</v>
      </c>
      <c r="B299" s="65" t="s">
        <v>620</v>
      </c>
      <c r="C299" s="65" t="s">
        <v>376</v>
      </c>
      <c r="D299" s="68" t="s">
        <v>108</v>
      </c>
      <c r="E299" s="65"/>
      <c r="F299" s="69">
        <v>23</v>
      </c>
      <c r="G299" s="69">
        <f t="shared" si="15"/>
        <v>0</v>
      </c>
    </row>
    <row r="300" spans="1:7" s="61" customFormat="1">
      <c r="A300" s="65">
        <v>289</v>
      </c>
      <c r="B300" s="65" t="s">
        <v>620</v>
      </c>
      <c r="C300" s="65" t="s">
        <v>377</v>
      </c>
      <c r="D300" s="68" t="s">
        <v>108</v>
      </c>
      <c r="E300" s="65"/>
      <c r="F300" s="69">
        <v>19.850000000000001</v>
      </c>
      <c r="G300" s="69">
        <f t="shared" si="15"/>
        <v>0</v>
      </c>
    </row>
    <row r="301" spans="1:7" s="61" customFormat="1">
      <c r="A301" s="65">
        <v>290</v>
      </c>
      <c r="B301" s="65" t="s">
        <v>620</v>
      </c>
      <c r="C301" s="65" t="s">
        <v>378</v>
      </c>
      <c r="D301" s="68" t="s">
        <v>108</v>
      </c>
      <c r="E301" s="65"/>
      <c r="F301" s="69">
        <v>16</v>
      </c>
      <c r="G301" s="69">
        <f t="shared" si="15"/>
        <v>0</v>
      </c>
    </row>
    <row r="302" spans="1:7" s="61" customFormat="1">
      <c r="A302" s="65">
        <v>291</v>
      </c>
      <c r="B302" s="65" t="s">
        <v>620</v>
      </c>
      <c r="C302" s="65" t="s">
        <v>379</v>
      </c>
      <c r="D302" s="68" t="s">
        <v>108</v>
      </c>
      <c r="E302" s="65"/>
      <c r="F302" s="69">
        <v>30</v>
      </c>
      <c r="G302" s="69">
        <f t="shared" si="15"/>
        <v>0</v>
      </c>
    </row>
    <row r="303" spans="1:7" s="61" customFormat="1">
      <c r="A303" s="65">
        <v>292</v>
      </c>
      <c r="B303" s="65" t="s">
        <v>620</v>
      </c>
      <c r="C303" s="65" t="s">
        <v>380</v>
      </c>
      <c r="D303" s="68" t="s">
        <v>108</v>
      </c>
      <c r="E303" s="65"/>
      <c r="F303" s="69">
        <v>20</v>
      </c>
      <c r="G303" s="69">
        <f t="shared" si="15"/>
        <v>0</v>
      </c>
    </row>
    <row r="304" spans="1:7" s="61" customFormat="1">
      <c r="A304" s="65">
        <v>293</v>
      </c>
      <c r="B304" s="65" t="s">
        <v>620</v>
      </c>
      <c r="C304" s="65" t="s">
        <v>381</v>
      </c>
      <c r="D304" s="68" t="s">
        <v>108</v>
      </c>
      <c r="E304" s="65"/>
      <c r="F304" s="69">
        <v>14.5</v>
      </c>
      <c r="G304" s="69">
        <f t="shared" si="15"/>
        <v>0</v>
      </c>
    </row>
    <row r="305" spans="1:7" s="61" customFormat="1">
      <c r="A305" s="65">
        <v>294</v>
      </c>
      <c r="B305" s="65" t="s">
        <v>620</v>
      </c>
      <c r="C305" s="65" t="s">
        <v>382</v>
      </c>
      <c r="D305" s="68" t="s">
        <v>108</v>
      </c>
      <c r="E305" s="65"/>
      <c r="F305" s="69">
        <v>10</v>
      </c>
      <c r="G305" s="69">
        <f t="shared" si="15"/>
        <v>0</v>
      </c>
    </row>
    <row r="306" spans="1:7" s="61" customFormat="1">
      <c r="A306" s="65">
        <v>295</v>
      </c>
      <c r="B306" s="65" t="s">
        <v>620</v>
      </c>
      <c r="C306" s="65" t="s">
        <v>383</v>
      </c>
      <c r="D306" s="68" t="s">
        <v>108</v>
      </c>
      <c r="E306" s="65"/>
      <c r="F306" s="69">
        <v>15</v>
      </c>
      <c r="G306" s="69">
        <f t="shared" si="15"/>
        <v>0</v>
      </c>
    </row>
    <row r="307" spans="1:7" s="61" customFormat="1">
      <c r="A307" s="65">
        <v>296</v>
      </c>
      <c r="B307" s="65" t="s">
        <v>620</v>
      </c>
      <c r="C307" s="65" t="s">
        <v>384</v>
      </c>
      <c r="D307" s="68" t="s">
        <v>108</v>
      </c>
      <c r="E307" s="65"/>
      <c r="F307" s="69">
        <v>15</v>
      </c>
      <c r="G307" s="69">
        <f t="shared" si="15"/>
        <v>0</v>
      </c>
    </row>
    <row r="308" spans="1:7" s="61" customFormat="1">
      <c r="A308" s="65">
        <v>297</v>
      </c>
      <c r="B308" s="65" t="s">
        <v>620</v>
      </c>
      <c r="C308" s="65" t="s">
        <v>385</v>
      </c>
      <c r="D308" s="68" t="s">
        <v>108</v>
      </c>
      <c r="E308" s="65"/>
      <c r="F308" s="69">
        <v>24.5</v>
      </c>
      <c r="G308" s="69">
        <f t="shared" si="15"/>
        <v>0</v>
      </c>
    </row>
    <row r="309" spans="1:7" s="61" customFormat="1">
      <c r="A309" s="65">
        <v>298</v>
      </c>
      <c r="B309" s="65" t="s">
        <v>620</v>
      </c>
      <c r="C309" s="65" t="s">
        <v>386</v>
      </c>
      <c r="D309" s="68" t="s">
        <v>108</v>
      </c>
      <c r="E309" s="65"/>
      <c r="F309" s="69">
        <v>20.350000000000001</v>
      </c>
      <c r="G309" s="69">
        <f t="shared" si="15"/>
        <v>0</v>
      </c>
    </row>
    <row r="310" spans="1:7" s="61" customFormat="1">
      <c r="A310" s="65">
        <v>299</v>
      </c>
      <c r="B310" s="65" t="s">
        <v>620</v>
      </c>
      <c r="C310" s="65" t="s">
        <v>387</v>
      </c>
      <c r="D310" s="68" t="s">
        <v>108</v>
      </c>
      <c r="E310" s="65"/>
      <c r="F310" s="69">
        <v>15.5</v>
      </c>
      <c r="G310" s="69">
        <f t="shared" si="15"/>
        <v>0</v>
      </c>
    </row>
    <row r="311" spans="1:7" s="61" customFormat="1">
      <c r="A311" s="65">
        <v>300</v>
      </c>
      <c r="B311" s="65" t="s">
        <v>621</v>
      </c>
      <c r="C311" s="65" t="s">
        <v>388</v>
      </c>
      <c r="D311" s="68" t="s">
        <v>108</v>
      </c>
      <c r="E311" s="65"/>
      <c r="F311" s="69">
        <v>11.4</v>
      </c>
      <c r="G311" s="69">
        <f t="shared" si="15"/>
        <v>0</v>
      </c>
    </row>
    <row r="312" spans="1:7" s="61" customFormat="1">
      <c r="A312" s="65">
        <v>301</v>
      </c>
      <c r="B312" s="65" t="s">
        <v>621</v>
      </c>
      <c r="C312" s="65" t="s">
        <v>389</v>
      </c>
      <c r="D312" s="68" t="s">
        <v>108</v>
      </c>
      <c r="E312" s="65"/>
      <c r="F312" s="69">
        <v>11.9</v>
      </c>
      <c r="G312" s="69">
        <f t="shared" si="15"/>
        <v>0</v>
      </c>
    </row>
    <row r="313" spans="1:7" s="61" customFormat="1">
      <c r="A313" s="65">
        <v>302</v>
      </c>
      <c r="B313" s="65" t="s">
        <v>621</v>
      </c>
      <c r="C313" s="65" t="s">
        <v>390</v>
      </c>
      <c r="D313" s="68" t="s">
        <v>108</v>
      </c>
      <c r="E313" s="65"/>
      <c r="F313" s="69">
        <v>14.5</v>
      </c>
      <c r="G313" s="69">
        <f t="shared" si="15"/>
        <v>0</v>
      </c>
    </row>
    <row r="314" spans="1:7" s="61" customFormat="1">
      <c r="A314" s="65">
        <v>303</v>
      </c>
      <c r="B314" s="65" t="s">
        <v>621</v>
      </c>
      <c r="C314" s="65" t="s">
        <v>391</v>
      </c>
      <c r="D314" s="68" t="s">
        <v>108</v>
      </c>
      <c r="E314" s="65"/>
      <c r="F314" s="69">
        <v>13</v>
      </c>
      <c r="G314" s="69">
        <f t="shared" si="15"/>
        <v>0</v>
      </c>
    </row>
    <row r="315" spans="1:7" s="61" customFormat="1">
      <c r="A315" s="65">
        <v>304</v>
      </c>
      <c r="B315" s="65" t="s">
        <v>621</v>
      </c>
      <c r="C315" s="65" t="s">
        <v>392</v>
      </c>
      <c r="D315" s="68" t="s">
        <v>108</v>
      </c>
      <c r="E315" s="65"/>
      <c r="F315" s="69">
        <v>13.5</v>
      </c>
      <c r="G315" s="69">
        <f t="shared" si="15"/>
        <v>0</v>
      </c>
    </row>
    <row r="316" spans="1:7" s="61" customFormat="1">
      <c r="A316" s="65">
        <v>305</v>
      </c>
      <c r="B316" s="65" t="s">
        <v>621</v>
      </c>
      <c r="C316" s="65" t="s">
        <v>393</v>
      </c>
      <c r="D316" s="68" t="s">
        <v>108</v>
      </c>
      <c r="E316" s="65"/>
      <c r="F316" s="69">
        <v>13</v>
      </c>
      <c r="G316" s="69">
        <f t="shared" si="15"/>
        <v>0</v>
      </c>
    </row>
    <row r="317" spans="1:7" s="61" customFormat="1">
      <c r="A317" s="65">
        <v>306</v>
      </c>
      <c r="B317" s="65" t="s">
        <v>621</v>
      </c>
      <c r="C317" s="65" t="s">
        <v>394</v>
      </c>
      <c r="D317" s="68" t="s">
        <v>108</v>
      </c>
      <c r="E317" s="65"/>
      <c r="F317" s="69">
        <v>10.5</v>
      </c>
      <c r="G317" s="69">
        <f t="shared" si="15"/>
        <v>0</v>
      </c>
    </row>
    <row r="318" spans="1:7" s="61" customFormat="1">
      <c r="A318" s="65">
        <v>307</v>
      </c>
      <c r="B318" s="65" t="s">
        <v>621</v>
      </c>
      <c r="C318" s="65" t="s">
        <v>395</v>
      </c>
      <c r="D318" s="68" t="s">
        <v>108</v>
      </c>
      <c r="E318" s="65"/>
      <c r="F318" s="69">
        <v>12.75</v>
      </c>
      <c r="G318" s="69">
        <f t="shared" si="15"/>
        <v>0</v>
      </c>
    </row>
    <row r="319" spans="1:7" s="61" customFormat="1">
      <c r="A319" s="65">
        <v>308</v>
      </c>
      <c r="B319" s="65" t="s">
        <v>621</v>
      </c>
      <c r="C319" s="65" t="s">
        <v>396</v>
      </c>
      <c r="D319" s="68" t="s">
        <v>108</v>
      </c>
      <c r="E319" s="65"/>
      <c r="F319" s="69">
        <v>15.5</v>
      </c>
      <c r="G319" s="69">
        <f t="shared" si="15"/>
        <v>0</v>
      </c>
    </row>
    <row r="320" spans="1:7" s="61" customFormat="1">
      <c r="A320" s="65">
        <v>309</v>
      </c>
      <c r="B320" s="65" t="s">
        <v>621</v>
      </c>
      <c r="C320" s="65" t="s">
        <v>397</v>
      </c>
      <c r="D320" s="68" t="s">
        <v>108</v>
      </c>
      <c r="E320" s="65"/>
      <c r="F320" s="69">
        <v>13.5</v>
      </c>
      <c r="G320" s="69">
        <f t="shared" si="15"/>
        <v>0</v>
      </c>
    </row>
    <row r="321" spans="1:7" s="61" customFormat="1">
      <c r="A321" s="65">
        <v>310</v>
      </c>
      <c r="B321" s="65" t="s">
        <v>621</v>
      </c>
      <c r="C321" s="65" t="s">
        <v>398</v>
      </c>
      <c r="D321" s="68" t="s">
        <v>108</v>
      </c>
      <c r="E321" s="65"/>
      <c r="F321" s="69">
        <v>13</v>
      </c>
      <c r="G321" s="69">
        <f t="shared" ref="G321:G370" si="16">E321*F321</f>
        <v>0</v>
      </c>
    </row>
    <row r="322" spans="1:7" s="61" customFormat="1">
      <c r="A322" s="65">
        <v>311</v>
      </c>
      <c r="B322" s="65" t="s">
        <v>621</v>
      </c>
      <c r="C322" s="65" t="s">
        <v>399</v>
      </c>
      <c r="D322" s="68" t="s">
        <v>108</v>
      </c>
      <c r="E322" s="65"/>
      <c r="F322" s="69">
        <v>14</v>
      </c>
      <c r="G322" s="69">
        <f t="shared" si="16"/>
        <v>0</v>
      </c>
    </row>
    <row r="323" spans="1:7" s="61" customFormat="1">
      <c r="A323" s="65">
        <v>312</v>
      </c>
      <c r="B323" s="65" t="s">
        <v>621</v>
      </c>
      <c r="C323" s="65" t="s">
        <v>400</v>
      </c>
      <c r="D323" s="68" t="s">
        <v>108</v>
      </c>
      <c r="E323" s="65"/>
      <c r="F323" s="69">
        <v>11.4</v>
      </c>
      <c r="G323" s="69">
        <f t="shared" si="16"/>
        <v>0</v>
      </c>
    </row>
    <row r="324" spans="1:7" s="61" customFormat="1">
      <c r="A324" s="65">
        <v>313</v>
      </c>
      <c r="B324" s="65" t="s">
        <v>621</v>
      </c>
      <c r="C324" s="65" t="s">
        <v>401</v>
      </c>
      <c r="D324" s="68" t="s">
        <v>108</v>
      </c>
      <c r="E324" s="65"/>
      <c r="F324" s="69">
        <v>11.75</v>
      </c>
      <c r="G324" s="69">
        <f t="shared" si="16"/>
        <v>0</v>
      </c>
    </row>
    <row r="325" spans="1:7" s="61" customFormat="1">
      <c r="A325" s="65">
        <v>314</v>
      </c>
      <c r="B325" s="65" t="s">
        <v>621</v>
      </c>
      <c r="C325" s="65" t="s">
        <v>402</v>
      </c>
      <c r="D325" s="68" t="s">
        <v>108</v>
      </c>
      <c r="E325" s="65"/>
      <c r="F325" s="69">
        <v>13.75</v>
      </c>
      <c r="G325" s="69">
        <f t="shared" si="16"/>
        <v>0</v>
      </c>
    </row>
    <row r="326" spans="1:7" s="61" customFormat="1">
      <c r="A326" s="65">
        <v>315</v>
      </c>
      <c r="B326" s="65" t="s">
        <v>621</v>
      </c>
      <c r="C326" s="65" t="s">
        <v>403</v>
      </c>
      <c r="D326" s="68" t="s">
        <v>108</v>
      </c>
      <c r="E326" s="65"/>
      <c r="F326" s="69">
        <v>14</v>
      </c>
      <c r="G326" s="69">
        <f t="shared" si="16"/>
        <v>0</v>
      </c>
    </row>
    <row r="327" spans="1:7" s="61" customFormat="1">
      <c r="A327" s="65">
        <v>316</v>
      </c>
      <c r="B327" s="65" t="s">
        <v>621</v>
      </c>
      <c r="C327" s="65" t="s">
        <v>404</v>
      </c>
      <c r="D327" s="68" t="s">
        <v>108</v>
      </c>
      <c r="E327" s="65"/>
      <c r="F327" s="69">
        <v>12.5</v>
      </c>
      <c r="G327" s="69">
        <f t="shared" si="16"/>
        <v>0</v>
      </c>
    </row>
    <row r="328" spans="1:7" s="61" customFormat="1">
      <c r="A328" s="65">
        <v>317</v>
      </c>
      <c r="B328" s="65" t="s">
        <v>621</v>
      </c>
      <c r="C328" s="65" t="s">
        <v>405</v>
      </c>
      <c r="D328" s="68" t="s">
        <v>108</v>
      </c>
      <c r="E328" s="65"/>
      <c r="F328" s="69">
        <v>12</v>
      </c>
      <c r="G328" s="69">
        <f t="shared" si="16"/>
        <v>0</v>
      </c>
    </row>
    <row r="329" spans="1:7" s="61" customFormat="1">
      <c r="A329" s="65">
        <v>318</v>
      </c>
      <c r="B329" s="65" t="s">
        <v>621</v>
      </c>
      <c r="C329" s="65" t="s">
        <v>406</v>
      </c>
      <c r="D329" s="68" t="s">
        <v>108</v>
      </c>
      <c r="E329" s="65"/>
      <c r="F329" s="69">
        <v>14.5</v>
      </c>
      <c r="G329" s="69">
        <f t="shared" si="16"/>
        <v>0</v>
      </c>
    </row>
    <row r="330" spans="1:7" s="61" customFormat="1">
      <c r="A330" s="65">
        <v>319</v>
      </c>
      <c r="B330" s="65" t="s">
        <v>621</v>
      </c>
      <c r="C330" s="65" t="s">
        <v>407</v>
      </c>
      <c r="D330" s="68" t="s">
        <v>108</v>
      </c>
      <c r="E330" s="65"/>
      <c r="F330" s="69">
        <v>13.75</v>
      </c>
      <c r="G330" s="69">
        <f t="shared" si="16"/>
        <v>0</v>
      </c>
    </row>
    <row r="331" spans="1:7" s="61" customFormat="1">
      <c r="A331" s="65">
        <v>320</v>
      </c>
      <c r="B331" s="65" t="s">
        <v>621</v>
      </c>
      <c r="C331" s="65" t="s">
        <v>408</v>
      </c>
      <c r="D331" s="68" t="s">
        <v>108</v>
      </c>
      <c r="E331" s="65"/>
      <c r="F331" s="69">
        <v>15.2</v>
      </c>
      <c r="G331" s="69">
        <f t="shared" si="16"/>
        <v>0</v>
      </c>
    </row>
    <row r="332" spans="1:7" s="61" customFormat="1">
      <c r="A332" s="65">
        <v>321</v>
      </c>
      <c r="B332" s="65" t="s">
        <v>621</v>
      </c>
      <c r="C332" s="65" t="s">
        <v>409</v>
      </c>
      <c r="D332" s="68" t="s">
        <v>108</v>
      </c>
      <c r="E332" s="65"/>
      <c r="F332" s="69">
        <v>13.5</v>
      </c>
      <c r="G332" s="69">
        <f t="shared" si="16"/>
        <v>0</v>
      </c>
    </row>
    <row r="333" spans="1:7" s="61" customFormat="1">
      <c r="A333" s="65">
        <v>322</v>
      </c>
      <c r="B333" s="65" t="s">
        <v>621</v>
      </c>
      <c r="C333" s="65" t="s">
        <v>410</v>
      </c>
      <c r="D333" s="68" t="s">
        <v>108</v>
      </c>
      <c r="E333" s="65"/>
      <c r="F333" s="69">
        <v>9.5</v>
      </c>
      <c r="G333" s="69">
        <f t="shared" si="16"/>
        <v>0</v>
      </c>
    </row>
    <row r="334" spans="1:7" s="61" customFormat="1">
      <c r="A334" s="65">
        <v>323</v>
      </c>
      <c r="B334" s="65" t="s">
        <v>621</v>
      </c>
      <c r="C334" s="65" t="s">
        <v>411</v>
      </c>
      <c r="D334" s="68" t="s">
        <v>108</v>
      </c>
      <c r="E334" s="65"/>
      <c r="F334" s="69">
        <v>17.5</v>
      </c>
      <c r="G334" s="69">
        <f t="shared" si="16"/>
        <v>0</v>
      </c>
    </row>
    <row r="335" spans="1:7" s="61" customFormat="1">
      <c r="A335" s="65">
        <v>324</v>
      </c>
      <c r="B335" s="65" t="s">
        <v>621</v>
      </c>
      <c r="C335" s="65" t="s">
        <v>412</v>
      </c>
      <c r="D335" s="68" t="s">
        <v>108</v>
      </c>
      <c r="E335" s="65"/>
      <c r="F335" s="69">
        <v>15</v>
      </c>
      <c r="G335" s="69">
        <f t="shared" si="16"/>
        <v>0</v>
      </c>
    </row>
    <row r="336" spans="1:7" s="61" customFormat="1">
      <c r="A336" s="65">
        <v>325</v>
      </c>
      <c r="B336" s="65" t="s">
        <v>621</v>
      </c>
      <c r="C336" s="65" t="s">
        <v>413</v>
      </c>
      <c r="D336" s="68" t="s">
        <v>108</v>
      </c>
      <c r="E336" s="65"/>
      <c r="F336" s="69">
        <v>13.25</v>
      </c>
      <c r="G336" s="69">
        <f t="shared" si="16"/>
        <v>0</v>
      </c>
    </row>
    <row r="337" spans="1:7" s="61" customFormat="1">
      <c r="A337" s="65">
        <v>326</v>
      </c>
      <c r="B337" s="65" t="s">
        <v>621</v>
      </c>
      <c r="C337" s="65" t="s">
        <v>414</v>
      </c>
      <c r="D337" s="68" t="s">
        <v>108</v>
      </c>
      <c r="E337" s="65"/>
      <c r="F337" s="69">
        <v>14.75</v>
      </c>
      <c r="G337" s="69">
        <f t="shared" si="16"/>
        <v>0</v>
      </c>
    </row>
    <row r="338" spans="1:7" s="61" customFormat="1">
      <c r="A338" s="65">
        <v>327</v>
      </c>
      <c r="B338" s="65" t="s">
        <v>621</v>
      </c>
      <c r="C338" s="65" t="s">
        <v>415</v>
      </c>
      <c r="D338" s="68" t="s">
        <v>108</v>
      </c>
      <c r="E338" s="65"/>
      <c r="F338" s="69">
        <v>19.850000000000001</v>
      </c>
      <c r="G338" s="69">
        <f t="shared" si="16"/>
        <v>0</v>
      </c>
    </row>
    <row r="339" spans="1:7" s="61" customFormat="1">
      <c r="A339" s="65">
        <v>328</v>
      </c>
      <c r="B339" s="65" t="s">
        <v>557</v>
      </c>
      <c r="C339" s="65" t="s">
        <v>416</v>
      </c>
      <c r="D339" s="68" t="s">
        <v>108</v>
      </c>
      <c r="E339" s="65"/>
      <c r="F339" s="69">
        <v>12</v>
      </c>
      <c r="G339" s="69">
        <f t="shared" si="16"/>
        <v>0</v>
      </c>
    </row>
    <row r="340" spans="1:7" s="61" customFormat="1">
      <c r="A340" s="65">
        <v>329</v>
      </c>
      <c r="B340" s="65" t="s">
        <v>557</v>
      </c>
      <c r="C340" s="65" t="s">
        <v>417</v>
      </c>
      <c r="D340" s="68" t="s">
        <v>108</v>
      </c>
      <c r="E340" s="65"/>
      <c r="F340" s="69">
        <v>17.7</v>
      </c>
      <c r="G340" s="69">
        <f t="shared" si="16"/>
        <v>0</v>
      </c>
    </row>
    <row r="341" spans="1:7" s="61" customFormat="1">
      <c r="A341" s="65">
        <v>330</v>
      </c>
      <c r="B341" s="65" t="s">
        <v>557</v>
      </c>
      <c r="C341" s="65" t="s">
        <v>418</v>
      </c>
      <c r="D341" s="68" t="s">
        <v>108</v>
      </c>
      <c r="E341" s="65"/>
      <c r="F341" s="69">
        <v>14.95</v>
      </c>
      <c r="G341" s="69">
        <f t="shared" si="16"/>
        <v>0</v>
      </c>
    </row>
    <row r="342" spans="1:7" s="61" customFormat="1">
      <c r="A342" s="65">
        <v>331</v>
      </c>
      <c r="B342" s="65" t="s">
        <v>557</v>
      </c>
      <c r="C342" s="65" t="s">
        <v>419</v>
      </c>
      <c r="D342" s="68" t="s">
        <v>108</v>
      </c>
      <c r="E342" s="65"/>
      <c r="F342" s="69">
        <v>14.45</v>
      </c>
      <c r="G342" s="69">
        <f t="shared" si="16"/>
        <v>0</v>
      </c>
    </row>
    <row r="343" spans="1:7" s="61" customFormat="1">
      <c r="A343" s="65">
        <v>332</v>
      </c>
      <c r="B343" s="65" t="s">
        <v>557</v>
      </c>
      <c r="C343" s="65" t="s">
        <v>420</v>
      </c>
      <c r="D343" s="68" t="s">
        <v>108</v>
      </c>
      <c r="E343" s="65"/>
      <c r="F343" s="69">
        <v>19</v>
      </c>
      <c r="G343" s="69">
        <f t="shared" si="16"/>
        <v>0</v>
      </c>
    </row>
    <row r="344" spans="1:7" s="61" customFormat="1">
      <c r="A344" s="65">
        <v>333</v>
      </c>
      <c r="B344" s="65" t="s">
        <v>557</v>
      </c>
      <c r="C344" s="65" t="s">
        <v>421</v>
      </c>
      <c r="D344" s="68" t="s">
        <v>108</v>
      </c>
      <c r="E344" s="65"/>
      <c r="F344" s="69">
        <v>32</v>
      </c>
      <c r="G344" s="69">
        <f t="shared" si="16"/>
        <v>0</v>
      </c>
    </row>
    <row r="345" spans="1:7" s="61" customFormat="1">
      <c r="A345" s="65">
        <v>334</v>
      </c>
      <c r="B345" s="65" t="s">
        <v>557</v>
      </c>
      <c r="C345" s="65" t="s">
        <v>422</v>
      </c>
      <c r="D345" s="68" t="s">
        <v>108</v>
      </c>
      <c r="E345" s="65"/>
      <c r="F345" s="69">
        <v>36</v>
      </c>
      <c r="G345" s="69">
        <f t="shared" si="16"/>
        <v>0</v>
      </c>
    </row>
    <row r="346" spans="1:7" s="61" customFormat="1">
      <c r="A346" s="65">
        <v>335</v>
      </c>
      <c r="B346" s="65" t="s">
        <v>557</v>
      </c>
      <c r="C346" s="65" t="s">
        <v>423</v>
      </c>
      <c r="D346" s="68" t="s">
        <v>108</v>
      </c>
      <c r="E346" s="65"/>
      <c r="F346" s="69">
        <v>19.45</v>
      </c>
      <c r="G346" s="69">
        <f t="shared" si="16"/>
        <v>0</v>
      </c>
    </row>
    <row r="347" spans="1:7" s="61" customFormat="1">
      <c r="A347" s="65">
        <v>336</v>
      </c>
      <c r="B347" s="65" t="s">
        <v>557</v>
      </c>
      <c r="C347" s="65" t="s">
        <v>424</v>
      </c>
      <c r="D347" s="68" t="s">
        <v>108</v>
      </c>
      <c r="E347" s="65"/>
      <c r="F347" s="69">
        <v>38</v>
      </c>
      <c r="G347" s="69">
        <f t="shared" si="16"/>
        <v>0</v>
      </c>
    </row>
    <row r="348" spans="1:7" s="61" customFormat="1">
      <c r="A348" s="65">
        <v>337</v>
      </c>
      <c r="B348" s="65" t="s">
        <v>557</v>
      </c>
      <c r="C348" s="65" t="s">
        <v>425</v>
      </c>
      <c r="D348" s="68" t="s">
        <v>108</v>
      </c>
      <c r="E348" s="65"/>
      <c r="F348" s="69">
        <v>75</v>
      </c>
      <c r="G348" s="69">
        <f t="shared" si="16"/>
        <v>0</v>
      </c>
    </row>
    <row r="349" spans="1:7" s="61" customFormat="1">
      <c r="A349" s="65">
        <v>338</v>
      </c>
      <c r="B349" s="65" t="s">
        <v>622</v>
      </c>
      <c r="C349" s="65" t="s">
        <v>426</v>
      </c>
      <c r="D349" s="68" t="s">
        <v>108</v>
      </c>
      <c r="E349" s="65"/>
      <c r="F349" s="69">
        <v>1.45</v>
      </c>
      <c r="G349" s="69">
        <f t="shared" si="16"/>
        <v>0</v>
      </c>
    </row>
    <row r="350" spans="1:7" s="61" customFormat="1">
      <c r="A350" s="65">
        <v>339</v>
      </c>
      <c r="B350" s="65" t="s">
        <v>622</v>
      </c>
      <c r="C350" s="65" t="s">
        <v>427</v>
      </c>
      <c r="D350" s="68" t="s">
        <v>108</v>
      </c>
      <c r="E350" s="65">
        <v>15</v>
      </c>
      <c r="F350" s="69">
        <v>1.45</v>
      </c>
      <c r="G350" s="69">
        <f t="shared" si="16"/>
        <v>21.75</v>
      </c>
    </row>
    <row r="351" spans="1:7" s="61" customFormat="1">
      <c r="A351" s="65">
        <v>340</v>
      </c>
      <c r="B351" s="65" t="s">
        <v>623</v>
      </c>
      <c r="C351" s="65" t="s">
        <v>428</v>
      </c>
      <c r="D351" s="68" t="s">
        <v>108</v>
      </c>
      <c r="E351" s="65"/>
      <c r="F351" s="69">
        <v>9</v>
      </c>
      <c r="G351" s="69">
        <f t="shared" si="16"/>
        <v>0</v>
      </c>
    </row>
    <row r="352" spans="1:7" s="61" customFormat="1">
      <c r="A352" s="65">
        <v>341</v>
      </c>
      <c r="B352" s="65" t="s">
        <v>623</v>
      </c>
      <c r="C352" s="65" t="s">
        <v>429</v>
      </c>
      <c r="D352" s="68" t="s">
        <v>108</v>
      </c>
      <c r="E352" s="65"/>
      <c r="F352" s="69">
        <v>4.4000000000000004</v>
      </c>
      <c r="G352" s="69">
        <f t="shared" si="16"/>
        <v>0</v>
      </c>
    </row>
    <row r="353" spans="1:7" s="61" customFormat="1">
      <c r="A353" s="65">
        <v>342</v>
      </c>
      <c r="B353" s="65" t="s">
        <v>623</v>
      </c>
      <c r="C353" s="65" t="s">
        <v>430</v>
      </c>
      <c r="D353" s="68" t="s">
        <v>108</v>
      </c>
      <c r="E353" s="65">
        <v>40</v>
      </c>
      <c r="F353" s="69">
        <v>2.95</v>
      </c>
      <c r="G353" s="69">
        <f t="shared" si="16"/>
        <v>118</v>
      </c>
    </row>
    <row r="354" spans="1:7" s="61" customFormat="1">
      <c r="A354" s="65">
        <v>343</v>
      </c>
      <c r="B354" s="65" t="s">
        <v>623</v>
      </c>
      <c r="C354" s="65" t="s">
        <v>431</v>
      </c>
      <c r="D354" s="68" t="s">
        <v>108</v>
      </c>
      <c r="E354" s="65"/>
      <c r="F354" s="69">
        <v>4.1500000000000004</v>
      </c>
      <c r="G354" s="69">
        <f t="shared" si="16"/>
        <v>0</v>
      </c>
    </row>
    <row r="355" spans="1:7" s="61" customFormat="1">
      <c r="A355" s="65">
        <v>344</v>
      </c>
      <c r="B355" s="65" t="s">
        <v>623</v>
      </c>
      <c r="C355" s="65" t="s">
        <v>432</v>
      </c>
      <c r="D355" s="68" t="s">
        <v>108</v>
      </c>
      <c r="E355" s="65"/>
      <c r="F355" s="69">
        <v>11</v>
      </c>
      <c r="G355" s="69">
        <f t="shared" si="16"/>
        <v>0</v>
      </c>
    </row>
    <row r="356" spans="1:7" s="61" customFormat="1">
      <c r="A356" s="65">
        <v>345</v>
      </c>
      <c r="B356" s="65" t="s">
        <v>623</v>
      </c>
      <c r="C356" s="65" t="s">
        <v>433</v>
      </c>
      <c r="D356" s="68" t="s">
        <v>108</v>
      </c>
      <c r="E356" s="65"/>
      <c r="F356" s="69">
        <v>6.75</v>
      </c>
      <c r="G356" s="69">
        <f t="shared" si="16"/>
        <v>0</v>
      </c>
    </row>
    <row r="357" spans="1:7" s="61" customFormat="1">
      <c r="A357" s="65">
        <v>346</v>
      </c>
      <c r="B357" s="65" t="s">
        <v>623</v>
      </c>
      <c r="C357" s="65" t="s">
        <v>434</v>
      </c>
      <c r="D357" s="68" t="s">
        <v>108</v>
      </c>
      <c r="E357" s="65"/>
      <c r="F357" s="69">
        <v>6.05</v>
      </c>
      <c r="G357" s="69">
        <f t="shared" si="16"/>
        <v>0</v>
      </c>
    </row>
    <row r="358" spans="1:7" s="61" customFormat="1">
      <c r="A358" s="65">
        <v>347</v>
      </c>
      <c r="B358" s="65" t="s">
        <v>623</v>
      </c>
      <c r="C358" s="65" t="s">
        <v>435</v>
      </c>
      <c r="D358" s="68" t="s">
        <v>108</v>
      </c>
      <c r="E358" s="65"/>
      <c r="F358" s="69">
        <v>8.65</v>
      </c>
      <c r="G358" s="69">
        <f t="shared" si="16"/>
        <v>0</v>
      </c>
    </row>
    <row r="359" spans="1:7" s="61" customFormat="1">
      <c r="A359" s="65">
        <v>348</v>
      </c>
      <c r="B359" s="65" t="s">
        <v>623</v>
      </c>
      <c r="C359" s="65" t="s">
        <v>436</v>
      </c>
      <c r="D359" s="68" t="s">
        <v>108</v>
      </c>
      <c r="E359" s="65"/>
      <c r="F359" s="69">
        <v>9.35</v>
      </c>
      <c r="G359" s="69">
        <f t="shared" si="16"/>
        <v>0</v>
      </c>
    </row>
    <row r="360" spans="1:7" s="61" customFormat="1">
      <c r="A360" s="65">
        <v>349</v>
      </c>
      <c r="B360" s="65" t="s">
        <v>623</v>
      </c>
      <c r="C360" s="65" t="s">
        <v>437</v>
      </c>
      <c r="D360" s="68" t="s">
        <v>108</v>
      </c>
      <c r="E360" s="65"/>
      <c r="F360" s="69">
        <v>9.65</v>
      </c>
      <c r="G360" s="69">
        <f t="shared" si="16"/>
        <v>0</v>
      </c>
    </row>
    <row r="361" spans="1:7" s="61" customFormat="1">
      <c r="A361" s="65">
        <v>350</v>
      </c>
      <c r="B361" s="65" t="s">
        <v>623</v>
      </c>
      <c r="C361" s="65" t="s">
        <v>438</v>
      </c>
      <c r="D361" s="68" t="s">
        <v>108</v>
      </c>
      <c r="E361" s="65"/>
      <c r="F361" s="69">
        <v>5.55</v>
      </c>
      <c r="G361" s="69">
        <f t="shared" si="16"/>
        <v>0</v>
      </c>
    </row>
    <row r="362" spans="1:7" s="61" customFormat="1">
      <c r="A362" s="65">
        <v>351</v>
      </c>
      <c r="B362" s="65" t="s">
        <v>623</v>
      </c>
      <c r="C362" s="65" t="s">
        <v>439</v>
      </c>
      <c r="D362" s="68" t="s">
        <v>108</v>
      </c>
      <c r="E362" s="65"/>
      <c r="F362" s="69">
        <v>5.5</v>
      </c>
      <c r="G362" s="69">
        <f t="shared" si="16"/>
        <v>0</v>
      </c>
    </row>
    <row r="363" spans="1:7" s="61" customFormat="1">
      <c r="A363" s="65">
        <v>352</v>
      </c>
      <c r="B363" s="65" t="s">
        <v>623</v>
      </c>
      <c r="C363" s="65" t="s">
        <v>440</v>
      </c>
      <c r="D363" s="68" t="s">
        <v>108</v>
      </c>
      <c r="E363" s="65"/>
      <c r="F363" s="69">
        <v>4.5</v>
      </c>
      <c r="G363" s="69">
        <f t="shared" si="16"/>
        <v>0</v>
      </c>
    </row>
    <row r="364" spans="1:7" s="61" customFormat="1">
      <c r="A364" s="65">
        <v>353</v>
      </c>
      <c r="B364" s="65" t="s">
        <v>623</v>
      </c>
      <c r="C364" s="65" t="s">
        <v>441</v>
      </c>
      <c r="D364" s="68" t="s">
        <v>108</v>
      </c>
      <c r="E364" s="65"/>
      <c r="F364" s="69">
        <v>3.55</v>
      </c>
      <c r="G364" s="69">
        <f t="shared" si="16"/>
        <v>0</v>
      </c>
    </row>
    <row r="365" spans="1:7" s="61" customFormat="1">
      <c r="A365" s="65">
        <v>354</v>
      </c>
      <c r="B365" s="65" t="s">
        <v>623</v>
      </c>
      <c r="C365" s="65" t="s">
        <v>563</v>
      </c>
      <c r="D365" s="68" t="s">
        <v>108</v>
      </c>
      <c r="E365" s="65"/>
      <c r="F365" s="69">
        <v>3.8</v>
      </c>
      <c r="G365" s="69">
        <f t="shared" si="16"/>
        <v>0</v>
      </c>
    </row>
    <row r="366" spans="1:7" s="61" customFormat="1">
      <c r="A366" s="65">
        <v>355</v>
      </c>
      <c r="B366" s="65" t="s">
        <v>623</v>
      </c>
      <c r="C366" s="65" t="s">
        <v>442</v>
      </c>
      <c r="D366" s="68" t="s">
        <v>108</v>
      </c>
      <c r="E366" s="65"/>
      <c r="F366" s="69">
        <v>5</v>
      </c>
      <c r="G366" s="69">
        <f t="shared" si="16"/>
        <v>0</v>
      </c>
    </row>
    <row r="367" spans="1:7" s="61" customFormat="1">
      <c r="A367" s="65">
        <v>356</v>
      </c>
      <c r="B367" s="65" t="s">
        <v>623</v>
      </c>
      <c r="C367" s="65" t="s">
        <v>443</v>
      </c>
      <c r="D367" s="68" t="s">
        <v>108</v>
      </c>
      <c r="E367" s="65"/>
      <c r="F367" s="69">
        <v>7.05</v>
      </c>
      <c r="G367" s="69">
        <f t="shared" si="16"/>
        <v>0</v>
      </c>
    </row>
    <row r="368" spans="1:7" s="61" customFormat="1">
      <c r="A368" s="65">
        <v>357</v>
      </c>
      <c r="B368" s="65" t="s">
        <v>623</v>
      </c>
      <c r="C368" s="65" t="s">
        <v>444</v>
      </c>
      <c r="D368" s="68" t="s">
        <v>108</v>
      </c>
      <c r="E368" s="65"/>
      <c r="F368" s="69">
        <v>6.3</v>
      </c>
      <c r="G368" s="69">
        <f t="shared" si="16"/>
        <v>0</v>
      </c>
    </row>
    <row r="369" spans="1:7" s="61" customFormat="1">
      <c r="A369" s="65">
        <v>358</v>
      </c>
      <c r="B369" s="65" t="s">
        <v>623</v>
      </c>
      <c r="C369" s="65" t="s">
        <v>445</v>
      </c>
      <c r="D369" s="68" t="s">
        <v>108</v>
      </c>
      <c r="E369" s="65"/>
      <c r="F369" s="69">
        <v>6.8</v>
      </c>
      <c r="G369" s="69">
        <f t="shared" si="16"/>
        <v>0</v>
      </c>
    </row>
    <row r="370" spans="1:7" s="61" customFormat="1">
      <c r="A370" s="65">
        <v>359</v>
      </c>
      <c r="B370" s="65" t="s">
        <v>558</v>
      </c>
      <c r="C370" s="65" t="s">
        <v>446</v>
      </c>
      <c r="D370" s="68" t="s">
        <v>108</v>
      </c>
      <c r="E370" s="65"/>
      <c r="F370" s="69">
        <v>10.45</v>
      </c>
      <c r="G370" s="69">
        <f t="shared" si="16"/>
        <v>0</v>
      </c>
    </row>
    <row r="371" spans="1:7" s="61" customFormat="1">
      <c r="A371" s="65">
        <v>360</v>
      </c>
      <c r="B371" s="65" t="s">
        <v>624</v>
      </c>
      <c r="C371" s="65" t="s">
        <v>447</v>
      </c>
      <c r="D371" s="68" t="s">
        <v>108</v>
      </c>
      <c r="E371" s="65"/>
      <c r="F371" s="69">
        <v>1.4</v>
      </c>
      <c r="G371" s="69">
        <f t="shared" ref="G371:G419" si="17">E371*F371</f>
        <v>0</v>
      </c>
    </row>
    <row r="372" spans="1:7" s="61" customFormat="1">
      <c r="A372" s="65">
        <v>361</v>
      </c>
      <c r="B372" s="65" t="s">
        <v>624</v>
      </c>
      <c r="C372" s="65" t="s">
        <v>448</v>
      </c>
      <c r="D372" s="68" t="s">
        <v>108</v>
      </c>
      <c r="E372" s="65"/>
      <c r="F372" s="69">
        <v>2.4</v>
      </c>
      <c r="G372" s="69">
        <f t="shared" si="17"/>
        <v>0</v>
      </c>
    </row>
    <row r="373" spans="1:7" s="61" customFormat="1">
      <c r="A373" s="65">
        <v>362</v>
      </c>
      <c r="B373" s="65" t="s">
        <v>624</v>
      </c>
      <c r="C373" s="65" t="s">
        <v>449</v>
      </c>
      <c r="D373" s="68" t="s">
        <v>108</v>
      </c>
      <c r="E373" s="65"/>
      <c r="F373" s="69">
        <v>2.4</v>
      </c>
      <c r="G373" s="69">
        <f t="shared" si="17"/>
        <v>0</v>
      </c>
    </row>
    <row r="374" spans="1:7" s="61" customFormat="1">
      <c r="A374" s="65">
        <v>363</v>
      </c>
      <c r="B374" s="65" t="s">
        <v>624</v>
      </c>
      <c r="C374" s="65" t="s">
        <v>450</v>
      </c>
      <c r="D374" s="68" t="s">
        <v>108</v>
      </c>
      <c r="E374" s="65"/>
      <c r="F374" s="69">
        <v>2.4</v>
      </c>
      <c r="G374" s="69">
        <f t="shared" si="17"/>
        <v>0</v>
      </c>
    </row>
    <row r="375" spans="1:7" s="61" customFormat="1">
      <c r="A375" s="65">
        <v>364</v>
      </c>
      <c r="B375" s="65" t="s">
        <v>624</v>
      </c>
      <c r="C375" s="65" t="s">
        <v>451</v>
      </c>
      <c r="D375" s="68" t="s">
        <v>108</v>
      </c>
      <c r="E375" s="65"/>
      <c r="F375" s="69">
        <v>1.4</v>
      </c>
      <c r="G375" s="69">
        <f t="shared" si="17"/>
        <v>0</v>
      </c>
    </row>
    <row r="376" spans="1:7" s="61" customFormat="1">
      <c r="A376" s="65">
        <v>365</v>
      </c>
      <c r="B376" s="65" t="s">
        <v>624</v>
      </c>
      <c r="C376" s="65" t="s">
        <v>452</v>
      </c>
      <c r="D376" s="68" t="s">
        <v>108</v>
      </c>
      <c r="E376" s="65"/>
      <c r="F376" s="69">
        <v>2.4</v>
      </c>
      <c r="G376" s="69">
        <f t="shared" si="17"/>
        <v>0</v>
      </c>
    </row>
    <row r="377" spans="1:7" s="61" customFormat="1">
      <c r="A377" s="65">
        <v>366</v>
      </c>
      <c r="B377" s="65" t="s">
        <v>624</v>
      </c>
      <c r="C377" s="65" t="s">
        <v>453</v>
      </c>
      <c r="D377" s="68" t="s">
        <v>108</v>
      </c>
      <c r="E377" s="65"/>
      <c r="F377" s="69">
        <v>2.4</v>
      </c>
      <c r="G377" s="69">
        <f t="shared" si="17"/>
        <v>0</v>
      </c>
    </row>
    <row r="378" spans="1:7" s="61" customFormat="1">
      <c r="A378" s="65">
        <v>367</v>
      </c>
      <c r="B378" s="65" t="s">
        <v>625</v>
      </c>
      <c r="C378" s="65" t="s">
        <v>454</v>
      </c>
      <c r="D378" s="68" t="s">
        <v>108</v>
      </c>
      <c r="E378" s="65">
        <v>10</v>
      </c>
      <c r="F378" s="69">
        <v>3.95</v>
      </c>
      <c r="G378" s="69">
        <f t="shared" si="17"/>
        <v>39.5</v>
      </c>
    </row>
    <row r="379" spans="1:7" s="61" customFormat="1">
      <c r="A379" s="65">
        <v>368</v>
      </c>
      <c r="B379" s="65" t="s">
        <v>625</v>
      </c>
      <c r="C379" s="65" t="s">
        <v>455</v>
      </c>
      <c r="D379" s="68" t="s">
        <v>108</v>
      </c>
      <c r="E379" s="65"/>
      <c r="F379" s="69">
        <v>3.55</v>
      </c>
      <c r="G379" s="69">
        <f t="shared" si="17"/>
        <v>0</v>
      </c>
    </row>
    <row r="380" spans="1:7" s="61" customFormat="1">
      <c r="A380" s="65">
        <v>369</v>
      </c>
      <c r="B380" s="65" t="s">
        <v>625</v>
      </c>
      <c r="C380" s="65" t="s">
        <v>456</v>
      </c>
      <c r="D380" s="68" t="s">
        <v>108</v>
      </c>
      <c r="E380" s="65"/>
      <c r="F380" s="69">
        <v>5.7</v>
      </c>
      <c r="G380" s="69">
        <f t="shared" si="17"/>
        <v>0</v>
      </c>
    </row>
    <row r="381" spans="1:7" s="61" customFormat="1">
      <c r="A381" s="65">
        <v>370</v>
      </c>
      <c r="B381" s="65" t="s">
        <v>625</v>
      </c>
      <c r="C381" s="65" t="s">
        <v>457</v>
      </c>
      <c r="D381" s="68" t="s">
        <v>108</v>
      </c>
      <c r="E381" s="65"/>
      <c r="F381" s="69">
        <v>3.55</v>
      </c>
      <c r="G381" s="69">
        <f t="shared" si="17"/>
        <v>0</v>
      </c>
    </row>
    <row r="382" spans="1:7" s="61" customFormat="1">
      <c r="A382" s="65">
        <v>371</v>
      </c>
      <c r="B382" s="65" t="s">
        <v>625</v>
      </c>
      <c r="C382" s="65" t="s">
        <v>458</v>
      </c>
      <c r="D382" s="68" t="s">
        <v>108</v>
      </c>
      <c r="E382" s="65"/>
      <c r="F382" s="69">
        <v>10.75</v>
      </c>
      <c r="G382" s="69">
        <f t="shared" si="17"/>
        <v>0</v>
      </c>
    </row>
    <row r="383" spans="1:7" s="61" customFormat="1">
      <c r="A383" s="65">
        <v>372</v>
      </c>
      <c r="B383" s="65" t="s">
        <v>625</v>
      </c>
      <c r="C383" s="65" t="s">
        <v>459</v>
      </c>
      <c r="D383" s="68" t="s">
        <v>108</v>
      </c>
      <c r="E383" s="65"/>
      <c r="F383" s="69">
        <v>5</v>
      </c>
      <c r="G383" s="69">
        <f t="shared" si="17"/>
        <v>0</v>
      </c>
    </row>
    <row r="384" spans="1:7" s="61" customFormat="1">
      <c r="A384" s="65">
        <v>373</v>
      </c>
      <c r="B384" s="65" t="s">
        <v>140</v>
      </c>
      <c r="C384" s="65" t="s">
        <v>460</v>
      </c>
      <c r="D384" s="68" t="s">
        <v>108</v>
      </c>
      <c r="E384" s="65"/>
      <c r="F384" s="69">
        <v>4.95</v>
      </c>
      <c r="G384" s="69">
        <f t="shared" si="17"/>
        <v>0</v>
      </c>
    </row>
    <row r="385" spans="1:7" s="61" customFormat="1">
      <c r="A385" s="65">
        <v>374</v>
      </c>
      <c r="B385" s="65" t="s">
        <v>140</v>
      </c>
      <c r="C385" s="65" t="s">
        <v>10</v>
      </c>
      <c r="D385" s="68" t="s">
        <v>108</v>
      </c>
      <c r="E385" s="65"/>
      <c r="F385" s="69">
        <v>0.65</v>
      </c>
      <c r="G385" s="69">
        <f t="shared" si="17"/>
        <v>0</v>
      </c>
    </row>
    <row r="386" spans="1:7" s="61" customFormat="1">
      <c r="A386" s="65">
        <v>375</v>
      </c>
      <c r="B386" s="65" t="s">
        <v>140</v>
      </c>
      <c r="C386" s="65" t="s">
        <v>461</v>
      </c>
      <c r="D386" s="68" t="s">
        <v>108</v>
      </c>
      <c r="E386" s="65"/>
      <c r="F386" s="69">
        <v>48</v>
      </c>
      <c r="G386" s="69">
        <f t="shared" si="17"/>
        <v>0</v>
      </c>
    </row>
    <row r="387" spans="1:7" s="61" customFormat="1">
      <c r="A387" s="65">
        <v>376</v>
      </c>
      <c r="B387" s="65" t="s">
        <v>140</v>
      </c>
      <c r="C387" s="65" t="s">
        <v>462</v>
      </c>
      <c r="D387" s="68" t="s">
        <v>108</v>
      </c>
      <c r="E387" s="65"/>
      <c r="F387" s="69">
        <v>45</v>
      </c>
      <c r="G387" s="69">
        <f t="shared" si="17"/>
        <v>0</v>
      </c>
    </row>
    <row r="388" spans="1:7" s="61" customFormat="1">
      <c r="A388" s="65">
        <v>377</v>
      </c>
      <c r="B388" s="65" t="s">
        <v>140</v>
      </c>
      <c r="C388" s="65" t="s">
        <v>463</v>
      </c>
      <c r="D388" s="68" t="s">
        <v>108</v>
      </c>
      <c r="E388" s="65"/>
      <c r="F388" s="69">
        <v>0.95</v>
      </c>
      <c r="G388" s="69">
        <f t="shared" si="17"/>
        <v>0</v>
      </c>
    </row>
    <row r="389" spans="1:7" s="61" customFormat="1">
      <c r="A389" s="65">
        <v>378</v>
      </c>
      <c r="B389" s="65" t="s">
        <v>140</v>
      </c>
      <c r="C389" s="65" t="s">
        <v>102</v>
      </c>
      <c r="D389" s="68" t="s">
        <v>108</v>
      </c>
      <c r="E389" s="65"/>
      <c r="F389" s="69">
        <v>3.15</v>
      </c>
      <c r="G389" s="69">
        <f t="shared" si="17"/>
        <v>0</v>
      </c>
    </row>
    <row r="390" spans="1:7" s="61" customFormat="1">
      <c r="A390" s="65">
        <v>379</v>
      </c>
      <c r="B390" s="65" t="s">
        <v>140</v>
      </c>
      <c r="C390" s="65" t="s">
        <v>57</v>
      </c>
      <c r="D390" s="68" t="s">
        <v>108</v>
      </c>
      <c r="E390" s="65"/>
      <c r="F390" s="69">
        <v>3</v>
      </c>
      <c r="G390" s="69">
        <f t="shared" si="17"/>
        <v>0</v>
      </c>
    </row>
    <row r="391" spans="1:7" s="61" customFormat="1">
      <c r="A391" s="65">
        <v>380</v>
      </c>
      <c r="B391" s="65" t="s">
        <v>140</v>
      </c>
      <c r="C391" s="65" t="s">
        <v>464</v>
      </c>
      <c r="D391" s="68" t="s">
        <v>108</v>
      </c>
      <c r="E391" s="65"/>
      <c r="F391" s="69">
        <v>2.75</v>
      </c>
      <c r="G391" s="69">
        <f t="shared" si="17"/>
        <v>0</v>
      </c>
    </row>
    <row r="392" spans="1:7" s="61" customFormat="1">
      <c r="A392" s="65">
        <v>381</v>
      </c>
      <c r="B392" s="65" t="s">
        <v>140</v>
      </c>
      <c r="C392" s="65" t="s">
        <v>465</v>
      </c>
      <c r="D392" s="68" t="s">
        <v>108</v>
      </c>
      <c r="E392" s="65"/>
      <c r="F392" s="69">
        <v>10.75</v>
      </c>
      <c r="G392" s="69">
        <f t="shared" si="17"/>
        <v>0</v>
      </c>
    </row>
    <row r="393" spans="1:7" s="61" customFormat="1">
      <c r="A393" s="65">
        <v>382</v>
      </c>
      <c r="B393" s="65" t="s">
        <v>140</v>
      </c>
      <c r="C393" s="65" t="s">
        <v>25</v>
      </c>
      <c r="D393" s="68" t="s">
        <v>108</v>
      </c>
      <c r="E393" s="65"/>
      <c r="F393" s="69">
        <v>44.95</v>
      </c>
      <c r="G393" s="69">
        <f t="shared" si="17"/>
        <v>0</v>
      </c>
    </row>
    <row r="394" spans="1:7" s="61" customFormat="1">
      <c r="A394" s="65">
        <v>383</v>
      </c>
      <c r="B394" s="65" t="s">
        <v>140</v>
      </c>
      <c r="C394" s="65" t="s">
        <v>466</v>
      </c>
      <c r="D394" s="68" t="s">
        <v>108</v>
      </c>
      <c r="E394" s="65"/>
      <c r="F394" s="69">
        <v>42</v>
      </c>
      <c r="G394" s="69">
        <f t="shared" si="17"/>
        <v>0</v>
      </c>
    </row>
    <row r="395" spans="1:7" s="61" customFormat="1">
      <c r="A395" s="65">
        <v>384</v>
      </c>
      <c r="B395" s="65" t="s">
        <v>559</v>
      </c>
      <c r="C395" s="65" t="s">
        <v>467</v>
      </c>
      <c r="D395" s="68" t="s">
        <v>108</v>
      </c>
      <c r="E395" s="65"/>
      <c r="F395" s="69">
        <v>3.9</v>
      </c>
      <c r="G395" s="69">
        <f t="shared" si="17"/>
        <v>0</v>
      </c>
    </row>
    <row r="396" spans="1:7" s="61" customFormat="1">
      <c r="A396" s="65">
        <v>385</v>
      </c>
      <c r="B396" s="65" t="s">
        <v>626</v>
      </c>
      <c r="C396" s="65" t="s">
        <v>468</v>
      </c>
      <c r="D396" s="68" t="s">
        <v>108</v>
      </c>
      <c r="E396" s="65"/>
      <c r="F396" s="69">
        <v>6.8</v>
      </c>
      <c r="G396" s="69">
        <f t="shared" si="17"/>
        <v>0</v>
      </c>
    </row>
    <row r="397" spans="1:7" s="61" customFormat="1">
      <c r="A397" s="65">
        <v>386</v>
      </c>
      <c r="B397" s="65" t="s">
        <v>626</v>
      </c>
      <c r="C397" s="65" t="s">
        <v>469</v>
      </c>
      <c r="D397" s="68" t="s">
        <v>108</v>
      </c>
      <c r="E397" s="65"/>
      <c r="F397" s="69">
        <v>6.45</v>
      </c>
      <c r="G397" s="69">
        <f t="shared" si="17"/>
        <v>0</v>
      </c>
    </row>
    <row r="398" spans="1:7" s="61" customFormat="1">
      <c r="A398" s="65">
        <v>387</v>
      </c>
      <c r="B398" s="65" t="s">
        <v>626</v>
      </c>
      <c r="C398" s="65" t="s">
        <v>470</v>
      </c>
      <c r="D398" s="68" t="s">
        <v>108</v>
      </c>
      <c r="E398" s="65">
        <v>20</v>
      </c>
      <c r="F398" s="69">
        <v>6</v>
      </c>
      <c r="G398" s="69">
        <f t="shared" si="17"/>
        <v>120</v>
      </c>
    </row>
    <row r="399" spans="1:7" s="61" customFormat="1">
      <c r="A399" s="65">
        <v>388</v>
      </c>
      <c r="B399" s="65" t="s">
        <v>626</v>
      </c>
      <c r="C399" s="65" t="s">
        <v>471</v>
      </c>
      <c r="D399" s="68" t="s">
        <v>108</v>
      </c>
      <c r="E399" s="65"/>
      <c r="F399" s="69">
        <v>13.7</v>
      </c>
      <c r="G399" s="69">
        <f t="shared" si="17"/>
        <v>0</v>
      </c>
    </row>
    <row r="400" spans="1:7" s="61" customFormat="1">
      <c r="A400" s="65">
        <v>389</v>
      </c>
      <c r="B400" s="65" t="s">
        <v>626</v>
      </c>
      <c r="C400" s="65" t="s">
        <v>472</v>
      </c>
      <c r="D400" s="68" t="s">
        <v>108</v>
      </c>
      <c r="E400" s="65"/>
      <c r="F400" s="69">
        <v>3.2</v>
      </c>
      <c r="G400" s="69">
        <f t="shared" si="17"/>
        <v>0</v>
      </c>
    </row>
    <row r="401" spans="1:7" s="61" customFormat="1">
      <c r="A401" s="65">
        <v>390</v>
      </c>
      <c r="B401" s="65" t="s">
        <v>627</v>
      </c>
      <c r="C401" s="65" t="s">
        <v>473</v>
      </c>
      <c r="D401" s="68" t="s">
        <v>108</v>
      </c>
      <c r="E401" s="65"/>
      <c r="F401" s="69">
        <v>16.5</v>
      </c>
      <c r="G401" s="69">
        <f t="shared" si="17"/>
        <v>0</v>
      </c>
    </row>
    <row r="402" spans="1:7" s="61" customFormat="1">
      <c r="A402" s="65">
        <v>391</v>
      </c>
      <c r="B402" s="65" t="s">
        <v>627</v>
      </c>
      <c r="C402" s="65" t="s">
        <v>474</v>
      </c>
      <c r="D402" s="68" t="s">
        <v>108</v>
      </c>
      <c r="E402" s="65"/>
      <c r="F402" s="69">
        <v>4.3</v>
      </c>
      <c r="G402" s="69">
        <f t="shared" si="17"/>
        <v>0</v>
      </c>
    </row>
    <row r="403" spans="1:7" s="61" customFormat="1">
      <c r="A403" s="65">
        <v>392</v>
      </c>
      <c r="B403" s="65" t="s">
        <v>627</v>
      </c>
      <c r="C403" s="65" t="s">
        <v>475</v>
      </c>
      <c r="D403" s="68" t="s">
        <v>108</v>
      </c>
      <c r="E403" s="65"/>
      <c r="F403" s="69">
        <v>2.7</v>
      </c>
      <c r="G403" s="69">
        <f t="shared" si="17"/>
        <v>0</v>
      </c>
    </row>
    <row r="404" spans="1:7" s="61" customFormat="1">
      <c r="A404" s="65">
        <v>393</v>
      </c>
      <c r="B404" s="65" t="s">
        <v>627</v>
      </c>
      <c r="C404" s="65" t="s">
        <v>476</v>
      </c>
      <c r="D404" s="68" t="s">
        <v>108</v>
      </c>
      <c r="E404" s="65"/>
      <c r="F404" s="69">
        <v>3.35</v>
      </c>
      <c r="G404" s="69">
        <f t="shared" si="17"/>
        <v>0</v>
      </c>
    </row>
    <row r="405" spans="1:7" s="61" customFormat="1">
      <c r="A405" s="65">
        <v>394</v>
      </c>
      <c r="B405" s="65" t="s">
        <v>627</v>
      </c>
      <c r="C405" s="65" t="s">
        <v>477</v>
      </c>
      <c r="D405" s="68" t="s">
        <v>108</v>
      </c>
      <c r="E405" s="65"/>
      <c r="F405" s="69">
        <v>5.25</v>
      </c>
      <c r="G405" s="69">
        <f t="shared" si="17"/>
        <v>0</v>
      </c>
    </row>
    <row r="406" spans="1:7" s="61" customFormat="1">
      <c r="A406" s="65">
        <v>395</v>
      </c>
      <c r="B406" s="65" t="s">
        <v>627</v>
      </c>
      <c r="C406" s="65" t="s">
        <v>478</v>
      </c>
      <c r="D406" s="68" t="s">
        <v>108</v>
      </c>
      <c r="E406" s="65"/>
      <c r="F406" s="69">
        <v>2</v>
      </c>
      <c r="G406" s="69">
        <f t="shared" si="17"/>
        <v>0</v>
      </c>
    </row>
    <row r="407" spans="1:7" s="61" customFormat="1">
      <c r="A407" s="65">
        <v>396</v>
      </c>
      <c r="B407" s="65" t="s">
        <v>627</v>
      </c>
      <c r="C407" s="65" t="s">
        <v>479</v>
      </c>
      <c r="D407" s="68" t="s">
        <v>108</v>
      </c>
      <c r="E407" s="65"/>
      <c r="F407" s="69">
        <v>2</v>
      </c>
      <c r="G407" s="69">
        <f t="shared" si="17"/>
        <v>0</v>
      </c>
    </row>
    <row r="408" spans="1:7" s="61" customFormat="1">
      <c r="A408" s="65">
        <v>397</v>
      </c>
      <c r="B408" s="65" t="s">
        <v>627</v>
      </c>
      <c r="C408" s="65" t="s">
        <v>480</v>
      </c>
      <c r="D408" s="68" t="s">
        <v>108</v>
      </c>
      <c r="E408" s="65"/>
      <c r="F408" s="69">
        <v>1.4</v>
      </c>
      <c r="G408" s="69">
        <f t="shared" si="17"/>
        <v>0</v>
      </c>
    </row>
    <row r="409" spans="1:7" s="61" customFormat="1">
      <c r="A409" s="65">
        <v>398</v>
      </c>
      <c r="B409" s="65" t="s">
        <v>627</v>
      </c>
      <c r="C409" s="65" t="s">
        <v>481</v>
      </c>
      <c r="D409" s="68" t="s">
        <v>108</v>
      </c>
      <c r="E409" s="65"/>
      <c r="F409" s="69">
        <v>1.45</v>
      </c>
      <c r="G409" s="69">
        <f t="shared" si="17"/>
        <v>0</v>
      </c>
    </row>
    <row r="410" spans="1:7" s="61" customFormat="1">
      <c r="A410" s="65">
        <v>399</v>
      </c>
      <c r="B410" s="65" t="s">
        <v>627</v>
      </c>
      <c r="C410" s="65" t="s">
        <v>628</v>
      </c>
      <c r="D410" s="68" t="s">
        <v>108</v>
      </c>
      <c r="E410" s="65"/>
      <c r="F410" s="69">
        <v>2</v>
      </c>
      <c r="G410" s="69">
        <f t="shared" si="17"/>
        <v>0</v>
      </c>
    </row>
    <row r="411" spans="1:7" s="61" customFormat="1">
      <c r="A411" s="65">
        <v>400</v>
      </c>
      <c r="B411" s="65" t="s">
        <v>627</v>
      </c>
      <c r="C411" s="65" t="s">
        <v>482</v>
      </c>
      <c r="D411" s="68" t="s">
        <v>108</v>
      </c>
      <c r="E411" s="65"/>
      <c r="F411" s="69">
        <v>1.7</v>
      </c>
      <c r="G411" s="69">
        <f t="shared" si="17"/>
        <v>0</v>
      </c>
    </row>
    <row r="412" spans="1:7" s="61" customFormat="1">
      <c r="A412" s="65">
        <v>401</v>
      </c>
      <c r="B412" s="65" t="s">
        <v>627</v>
      </c>
      <c r="C412" s="65" t="s">
        <v>483</v>
      </c>
      <c r="D412" s="68" t="s">
        <v>108</v>
      </c>
      <c r="E412" s="65"/>
      <c r="F412" s="69">
        <v>1.95</v>
      </c>
      <c r="G412" s="69">
        <f t="shared" si="17"/>
        <v>0</v>
      </c>
    </row>
    <row r="413" spans="1:7" s="61" customFormat="1">
      <c r="A413" s="65">
        <v>402</v>
      </c>
      <c r="B413" s="65" t="s">
        <v>627</v>
      </c>
      <c r="C413" s="65" t="s">
        <v>484</v>
      </c>
      <c r="D413" s="68" t="s">
        <v>108</v>
      </c>
      <c r="E413" s="65"/>
      <c r="F413" s="69">
        <v>2.4500000000000002</v>
      </c>
      <c r="G413" s="69">
        <f t="shared" si="17"/>
        <v>0</v>
      </c>
    </row>
    <row r="414" spans="1:7" s="61" customFormat="1">
      <c r="A414" s="65">
        <v>403</v>
      </c>
      <c r="B414" s="65" t="s">
        <v>627</v>
      </c>
      <c r="C414" s="65" t="s">
        <v>485</v>
      </c>
      <c r="D414" s="68" t="s">
        <v>108</v>
      </c>
      <c r="E414" s="65"/>
      <c r="F414" s="69">
        <v>1.6</v>
      </c>
      <c r="G414" s="69">
        <f t="shared" si="17"/>
        <v>0</v>
      </c>
    </row>
    <row r="415" spans="1:7" s="61" customFormat="1">
      <c r="A415" s="65">
        <v>404</v>
      </c>
      <c r="B415" s="65" t="s">
        <v>627</v>
      </c>
      <c r="C415" s="65" t="s">
        <v>486</v>
      </c>
      <c r="D415" s="68" t="s">
        <v>108</v>
      </c>
      <c r="E415" s="65"/>
      <c r="F415" s="69">
        <v>6.1</v>
      </c>
      <c r="G415" s="69">
        <f t="shared" si="17"/>
        <v>0</v>
      </c>
    </row>
    <row r="416" spans="1:7" s="61" customFormat="1">
      <c r="A416" s="65">
        <v>405</v>
      </c>
      <c r="B416" s="65" t="s">
        <v>627</v>
      </c>
      <c r="C416" s="65" t="s">
        <v>487</v>
      </c>
      <c r="D416" s="68" t="s">
        <v>108</v>
      </c>
      <c r="E416" s="65"/>
      <c r="F416" s="69">
        <v>4.7</v>
      </c>
      <c r="G416" s="69">
        <f t="shared" si="17"/>
        <v>0</v>
      </c>
    </row>
    <row r="417" spans="1:7" s="61" customFormat="1">
      <c r="A417" s="65">
        <v>406</v>
      </c>
      <c r="B417" s="65" t="s">
        <v>627</v>
      </c>
      <c r="C417" s="65" t="s">
        <v>488</v>
      </c>
      <c r="D417" s="68" t="s">
        <v>108</v>
      </c>
      <c r="E417" s="65"/>
      <c r="F417" s="69">
        <v>4.95</v>
      </c>
      <c r="G417" s="69">
        <f t="shared" si="17"/>
        <v>0</v>
      </c>
    </row>
    <row r="418" spans="1:7" s="61" customFormat="1">
      <c r="A418" s="65">
        <v>407</v>
      </c>
      <c r="B418" s="65" t="s">
        <v>627</v>
      </c>
      <c r="C418" s="65" t="s">
        <v>489</v>
      </c>
      <c r="D418" s="68" t="s">
        <v>108</v>
      </c>
      <c r="E418" s="65"/>
      <c r="F418" s="69">
        <v>3.1</v>
      </c>
      <c r="G418" s="69">
        <f t="shared" si="17"/>
        <v>0</v>
      </c>
    </row>
    <row r="419" spans="1:7" s="61" customFormat="1">
      <c r="A419" s="65">
        <v>408</v>
      </c>
      <c r="B419" s="65" t="s">
        <v>627</v>
      </c>
      <c r="C419" s="65" t="s">
        <v>490</v>
      </c>
      <c r="D419" s="68" t="s">
        <v>108</v>
      </c>
      <c r="E419" s="65"/>
      <c r="F419" s="69">
        <v>1.6</v>
      </c>
      <c r="G419" s="69">
        <f t="shared" si="17"/>
        <v>0</v>
      </c>
    </row>
    <row r="420" spans="1:7" s="61" customFormat="1">
      <c r="A420" s="65">
        <v>409</v>
      </c>
      <c r="B420" s="65" t="s">
        <v>627</v>
      </c>
      <c r="C420" s="65" t="s">
        <v>491</v>
      </c>
      <c r="D420" s="68" t="s">
        <v>108</v>
      </c>
      <c r="E420" s="65"/>
      <c r="F420" s="69">
        <v>3.2</v>
      </c>
      <c r="G420" s="69">
        <f t="shared" ref="G420:G469" si="18">E420*F420</f>
        <v>0</v>
      </c>
    </row>
    <row r="421" spans="1:7" s="61" customFormat="1">
      <c r="A421" s="65">
        <v>410</v>
      </c>
      <c r="B421" s="65" t="s">
        <v>627</v>
      </c>
      <c r="C421" s="65" t="s">
        <v>492</v>
      </c>
      <c r="D421" s="68" t="s">
        <v>108</v>
      </c>
      <c r="E421" s="65"/>
      <c r="F421" s="69">
        <v>3.4</v>
      </c>
      <c r="G421" s="69">
        <f t="shared" si="18"/>
        <v>0</v>
      </c>
    </row>
    <row r="422" spans="1:7" s="61" customFormat="1">
      <c r="A422" s="65">
        <v>411</v>
      </c>
      <c r="B422" s="65" t="s">
        <v>627</v>
      </c>
      <c r="C422" s="65" t="s">
        <v>493</v>
      </c>
      <c r="D422" s="68" t="s">
        <v>108</v>
      </c>
      <c r="E422" s="65"/>
      <c r="F422" s="69">
        <v>7.95</v>
      </c>
      <c r="G422" s="69">
        <f t="shared" si="18"/>
        <v>0</v>
      </c>
    </row>
    <row r="423" spans="1:7" s="61" customFormat="1">
      <c r="A423" s="65">
        <v>412</v>
      </c>
      <c r="B423" s="65" t="s">
        <v>627</v>
      </c>
      <c r="C423" s="65" t="s">
        <v>494</v>
      </c>
      <c r="D423" s="68" t="s">
        <v>108</v>
      </c>
      <c r="E423" s="65"/>
      <c r="F423" s="69">
        <v>7.55</v>
      </c>
      <c r="G423" s="69">
        <f t="shared" si="18"/>
        <v>0</v>
      </c>
    </row>
    <row r="424" spans="1:7" s="61" customFormat="1">
      <c r="A424" s="65">
        <v>413</v>
      </c>
      <c r="B424" s="65" t="s">
        <v>627</v>
      </c>
      <c r="C424" s="65" t="s">
        <v>495</v>
      </c>
      <c r="D424" s="68" t="s">
        <v>108</v>
      </c>
      <c r="E424" s="65"/>
      <c r="F424" s="69">
        <v>7.7</v>
      </c>
      <c r="G424" s="69">
        <f t="shared" si="18"/>
        <v>0</v>
      </c>
    </row>
    <row r="425" spans="1:7" s="61" customFormat="1">
      <c r="A425" s="65">
        <v>414</v>
      </c>
      <c r="B425" s="65" t="s">
        <v>627</v>
      </c>
      <c r="C425" s="65" t="s">
        <v>496</v>
      </c>
      <c r="D425" s="68" t="s">
        <v>108</v>
      </c>
      <c r="E425" s="65"/>
      <c r="F425" s="69">
        <v>4.95</v>
      </c>
      <c r="G425" s="69">
        <f t="shared" si="18"/>
        <v>0</v>
      </c>
    </row>
    <row r="426" spans="1:7" s="61" customFormat="1">
      <c r="A426" s="65">
        <v>415</v>
      </c>
      <c r="B426" s="65" t="s">
        <v>627</v>
      </c>
      <c r="C426" s="65" t="s">
        <v>497</v>
      </c>
      <c r="D426" s="68" t="s">
        <v>108</v>
      </c>
      <c r="E426" s="65"/>
      <c r="F426" s="69">
        <v>4.95</v>
      </c>
      <c r="G426" s="69">
        <f t="shared" si="18"/>
        <v>0</v>
      </c>
    </row>
    <row r="427" spans="1:7" s="61" customFormat="1">
      <c r="A427" s="65">
        <v>416</v>
      </c>
      <c r="B427" s="65" t="s">
        <v>627</v>
      </c>
      <c r="C427" s="65" t="s">
        <v>274</v>
      </c>
      <c r="D427" s="68" t="s">
        <v>108</v>
      </c>
      <c r="E427" s="65"/>
      <c r="F427" s="69">
        <v>13.7</v>
      </c>
      <c r="G427" s="69">
        <f t="shared" si="18"/>
        <v>0</v>
      </c>
    </row>
    <row r="428" spans="1:7" s="61" customFormat="1">
      <c r="A428" s="65">
        <v>417</v>
      </c>
      <c r="B428" s="65" t="s">
        <v>627</v>
      </c>
      <c r="C428" s="65" t="s">
        <v>498</v>
      </c>
      <c r="D428" s="68" t="s">
        <v>108</v>
      </c>
      <c r="E428" s="65"/>
      <c r="F428" s="69">
        <v>2.5</v>
      </c>
      <c r="G428" s="69">
        <f t="shared" si="18"/>
        <v>0</v>
      </c>
    </row>
    <row r="429" spans="1:7" s="61" customFormat="1">
      <c r="A429" s="65">
        <v>418</v>
      </c>
      <c r="B429" s="65" t="s">
        <v>627</v>
      </c>
      <c r="C429" s="65" t="s">
        <v>499</v>
      </c>
      <c r="D429" s="68" t="s">
        <v>108</v>
      </c>
      <c r="E429" s="65"/>
      <c r="F429" s="69">
        <v>5.45</v>
      </c>
      <c r="G429" s="69">
        <f t="shared" si="18"/>
        <v>0</v>
      </c>
    </row>
    <row r="430" spans="1:7" s="61" customFormat="1">
      <c r="A430" s="65">
        <v>419</v>
      </c>
      <c r="B430" s="65" t="s">
        <v>627</v>
      </c>
      <c r="C430" s="65" t="s">
        <v>500</v>
      </c>
      <c r="D430" s="68" t="s">
        <v>108</v>
      </c>
      <c r="E430" s="65"/>
      <c r="F430" s="69">
        <v>8.1999999999999993</v>
      </c>
      <c r="G430" s="69">
        <f t="shared" si="18"/>
        <v>0</v>
      </c>
    </row>
    <row r="431" spans="1:7" s="61" customFormat="1">
      <c r="A431" s="65">
        <v>420</v>
      </c>
      <c r="B431" s="65" t="s">
        <v>627</v>
      </c>
      <c r="C431" s="65" t="s">
        <v>501</v>
      </c>
      <c r="D431" s="68" t="s">
        <v>108</v>
      </c>
      <c r="E431" s="65"/>
      <c r="F431" s="69">
        <v>2.25</v>
      </c>
      <c r="G431" s="69">
        <f t="shared" si="18"/>
        <v>0</v>
      </c>
    </row>
    <row r="432" spans="1:7" s="61" customFormat="1">
      <c r="A432" s="65">
        <v>421</v>
      </c>
      <c r="B432" s="65" t="s">
        <v>627</v>
      </c>
      <c r="C432" s="65" t="s">
        <v>502</v>
      </c>
      <c r="D432" s="68" t="s">
        <v>108</v>
      </c>
      <c r="E432" s="65"/>
      <c r="F432" s="69">
        <v>2.4500000000000002</v>
      </c>
      <c r="G432" s="69">
        <f t="shared" si="18"/>
        <v>0</v>
      </c>
    </row>
    <row r="433" spans="1:7" s="61" customFormat="1">
      <c r="A433" s="65">
        <v>422</v>
      </c>
      <c r="B433" s="65" t="s">
        <v>627</v>
      </c>
      <c r="C433" s="65" t="s">
        <v>503</v>
      </c>
      <c r="D433" s="68" t="s">
        <v>108</v>
      </c>
      <c r="E433" s="65"/>
      <c r="F433" s="69">
        <v>2.75</v>
      </c>
      <c r="G433" s="69">
        <f t="shared" si="18"/>
        <v>0</v>
      </c>
    </row>
    <row r="434" spans="1:7" s="61" customFormat="1">
      <c r="A434" s="65">
        <v>423</v>
      </c>
      <c r="B434" s="65" t="s">
        <v>627</v>
      </c>
      <c r="C434" s="65" t="s">
        <v>504</v>
      </c>
      <c r="D434" s="68" t="s">
        <v>108</v>
      </c>
      <c r="E434" s="65"/>
      <c r="F434" s="69">
        <v>6.05</v>
      </c>
      <c r="G434" s="69">
        <f t="shared" si="18"/>
        <v>0</v>
      </c>
    </row>
    <row r="435" spans="1:7" s="61" customFormat="1">
      <c r="A435" s="65">
        <v>424</v>
      </c>
      <c r="B435" s="65" t="s">
        <v>627</v>
      </c>
      <c r="C435" s="65" t="s">
        <v>505</v>
      </c>
      <c r="D435" s="68" t="s">
        <v>108</v>
      </c>
      <c r="E435" s="65"/>
      <c r="F435" s="69">
        <v>2</v>
      </c>
      <c r="G435" s="69">
        <f t="shared" si="18"/>
        <v>0</v>
      </c>
    </row>
    <row r="436" spans="1:7" s="61" customFormat="1">
      <c r="A436" s="65">
        <v>425</v>
      </c>
      <c r="B436" s="65" t="s">
        <v>627</v>
      </c>
      <c r="C436" s="65" t="s">
        <v>506</v>
      </c>
      <c r="D436" s="68" t="s">
        <v>108</v>
      </c>
      <c r="E436" s="65"/>
      <c r="F436" s="69">
        <v>2.0499999999999998</v>
      </c>
      <c r="G436" s="69">
        <f t="shared" si="18"/>
        <v>0</v>
      </c>
    </row>
    <row r="437" spans="1:7" s="61" customFormat="1">
      <c r="A437" s="65">
        <v>426</v>
      </c>
      <c r="B437" s="65" t="s">
        <v>627</v>
      </c>
      <c r="C437" s="65" t="s">
        <v>507</v>
      </c>
      <c r="D437" s="68" t="s">
        <v>108</v>
      </c>
      <c r="E437" s="65"/>
      <c r="F437" s="69">
        <v>2.1</v>
      </c>
      <c r="G437" s="69">
        <f t="shared" si="18"/>
        <v>0</v>
      </c>
    </row>
    <row r="438" spans="1:7" s="61" customFormat="1">
      <c r="A438" s="65">
        <v>427</v>
      </c>
      <c r="B438" s="65" t="s">
        <v>627</v>
      </c>
      <c r="C438" s="65" t="s">
        <v>508</v>
      </c>
      <c r="D438" s="68" t="s">
        <v>108</v>
      </c>
      <c r="E438" s="65"/>
      <c r="F438" s="69">
        <v>1.55</v>
      </c>
      <c r="G438" s="69">
        <f t="shared" si="18"/>
        <v>0</v>
      </c>
    </row>
    <row r="439" spans="1:7" s="61" customFormat="1">
      <c r="A439" s="65">
        <v>428</v>
      </c>
      <c r="B439" s="65" t="s">
        <v>627</v>
      </c>
      <c r="C439" s="65" t="s">
        <v>509</v>
      </c>
      <c r="D439" s="68" t="s">
        <v>108</v>
      </c>
      <c r="E439" s="65"/>
      <c r="F439" s="69">
        <v>2</v>
      </c>
      <c r="G439" s="69">
        <f t="shared" si="18"/>
        <v>0</v>
      </c>
    </row>
    <row r="440" spans="1:7" s="61" customFormat="1">
      <c r="A440" s="65">
        <v>429</v>
      </c>
      <c r="B440" s="65" t="s">
        <v>627</v>
      </c>
      <c r="C440" s="65" t="s">
        <v>510</v>
      </c>
      <c r="D440" s="68" t="s">
        <v>108</v>
      </c>
      <c r="E440" s="65"/>
      <c r="F440" s="69">
        <v>5.35</v>
      </c>
      <c r="G440" s="69">
        <f t="shared" si="18"/>
        <v>0</v>
      </c>
    </row>
    <row r="441" spans="1:7" s="61" customFormat="1">
      <c r="A441" s="65">
        <v>430</v>
      </c>
      <c r="B441" s="65" t="s">
        <v>627</v>
      </c>
      <c r="C441" s="65" t="s">
        <v>511</v>
      </c>
      <c r="D441" s="68" t="s">
        <v>108</v>
      </c>
      <c r="E441" s="65"/>
      <c r="F441" s="69">
        <v>5.7</v>
      </c>
      <c r="G441" s="69">
        <f t="shared" si="18"/>
        <v>0</v>
      </c>
    </row>
    <row r="442" spans="1:7" s="61" customFormat="1">
      <c r="A442" s="65">
        <v>431</v>
      </c>
      <c r="B442" s="65" t="s">
        <v>627</v>
      </c>
      <c r="C442" s="65" t="s">
        <v>512</v>
      </c>
      <c r="D442" s="68" t="s">
        <v>108</v>
      </c>
      <c r="E442" s="65"/>
      <c r="F442" s="69">
        <v>5.3</v>
      </c>
      <c r="G442" s="69">
        <f t="shared" si="18"/>
        <v>0</v>
      </c>
    </row>
    <row r="443" spans="1:7" s="61" customFormat="1">
      <c r="A443" s="65">
        <v>432</v>
      </c>
      <c r="B443" s="65" t="s">
        <v>627</v>
      </c>
      <c r="C443" s="65" t="s">
        <v>513</v>
      </c>
      <c r="D443" s="68" t="s">
        <v>108</v>
      </c>
      <c r="E443" s="65">
        <v>20</v>
      </c>
      <c r="F443" s="69">
        <v>2.5</v>
      </c>
      <c r="G443" s="69">
        <f t="shared" si="18"/>
        <v>50</v>
      </c>
    </row>
    <row r="444" spans="1:7" s="61" customFormat="1">
      <c r="A444" s="65">
        <v>433</v>
      </c>
      <c r="B444" s="65" t="s">
        <v>627</v>
      </c>
      <c r="C444" s="65" t="s">
        <v>514</v>
      </c>
      <c r="D444" s="68" t="s">
        <v>108</v>
      </c>
      <c r="E444" s="65"/>
      <c r="F444" s="69">
        <v>2.2000000000000002</v>
      </c>
      <c r="G444" s="69">
        <f t="shared" si="18"/>
        <v>0</v>
      </c>
    </row>
    <row r="445" spans="1:7" s="61" customFormat="1">
      <c r="A445" s="65">
        <v>434</v>
      </c>
      <c r="B445" s="65" t="s">
        <v>627</v>
      </c>
      <c r="C445" s="65" t="s">
        <v>515</v>
      </c>
      <c r="D445" s="68" t="s">
        <v>108</v>
      </c>
      <c r="E445" s="65"/>
      <c r="F445" s="69">
        <v>5.7</v>
      </c>
      <c r="G445" s="69">
        <f t="shared" si="18"/>
        <v>0</v>
      </c>
    </row>
    <row r="446" spans="1:7" s="61" customFormat="1">
      <c r="A446" s="65">
        <v>435</v>
      </c>
      <c r="B446" s="65" t="s">
        <v>627</v>
      </c>
      <c r="C446" s="65" t="s">
        <v>516</v>
      </c>
      <c r="D446" s="68" t="s">
        <v>108</v>
      </c>
      <c r="E446" s="65">
        <v>10</v>
      </c>
      <c r="F446" s="69">
        <v>2.35</v>
      </c>
      <c r="G446" s="69">
        <f t="shared" si="18"/>
        <v>23.5</v>
      </c>
    </row>
    <row r="447" spans="1:7" s="61" customFormat="1">
      <c r="A447" s="65">
        <v>436</v>
      </c>
      <c r="B447" s="65" t="s">
        <v>627</v>
      </c>
      <c r="C447" s="65" t="s">
        <v>517</v>
      </c>
      <c r="D447" s="68" t="s">
        <v>108</v>
      </c>
      <c r="E447" s="65"/>
      <c r="F447" s="69">
        <v>6.8</v>
      </c>
      <c r="G447" s="69">
        <f t="shared" si="18"/>
        <v>0</v>
      </c>
    </row>
    <row r="448" spans="1:7" s="61" customFormat="1">
      <c r="A448" s="65">
        <v>437</v>
      </c>
      <c r="B448" s="65" t="s">
        <v>627</v>
      </c>
      <c r="C448" s="65" t="s">
        <v>518</v>
      </c>
      <c r="D448" s="68" t="s">
        <v>108</v>
      </c>
      <c r="E448" s="65"/>
      <c r="F448" s="69">
        <v>7.3</v>
      </c>
      <c r="G448" s="69">
        <f t="shared" si="18"/>
        <v>0</v>
      </c>
    </row>
    <row r="449" spans="1:7" s="61" customFormat="1">
      <c r="A449" s="65">
        <v>438</v>
      </c>
      <c r="B449" s="65" t="s">
        <v>629</v>
      </c>
      <c r="C449" s="65" t="s">
        <v>519</v>
      </c>
      <c r="D449" s="68" t="s">
        <v>108</v>
      </c>
      <c r="E449" s="65"/>
      <c r="F449" s="69">
        <v>5.2</v>
      </c>
      <c r="G449" s="69">
        <f t="shared" si="18"/>
        <v>0</v>
      </c>
    </row>
    <row r="450" spans="1:7" s="61" customFormat="1">
      <c r="A450" s="65">
        <v>439</v>
      </c>
      <c r="B450" s="65" t="s">
        <v>629</v>
      </c>
      <c r="C450" s="65" t="s">
        <v>520</v>
      </c>
      <c r="D450" s="68" t="s">
        <v>108</v>
      </c>
      <c r="E450" s="65"/>
      <c r="F450" s="69">
        <v>5.2</v>
      </c>
      <c r="G450" s="69">
        <f t="shared" si="18"/>
        <v>0</v>
      </c>
    </row>
    <row r="451" spans="1:7" s="61" customFormat="1">
      <c r="A451" s="65">
        <v>440</v>
      </c>
      <c r="B451" s="65" t="s">
        <v>629</v>
      </c>
      <c r="C451" s="65" t="s">
        <v>521</v>
      </c>
      <c r="D451" s="68" t="s">
        <v>108</v>
      </c>
      <c r="E451" s="65"/>
      <c r="F451" s="69">
        <v>5.25</v>
      </c>
      <c r="G451" s="69">
        <f t="shared" si="18"/>
        <v>0</v>
      </c>
    </row>
    <row r="452" spans="1:7" s="61" customFormat="1">
      <c r="A452" s="65">
        <v>441</v>
      </c>
      <c r="B452" s="65" t="s">
        <v>629</v>
      </c>
      <c r="C452" s="65" t="s">
        <v>522</v>
      </c>
      <c r="D452" s="68" t="s">
        <v>108</v>
      </c>
      <c r="E452" s="65"/>
      <c r="F452" s="69">
        <v>5.25</v>
      </c>
      <c r="G452" s="69">
        <f t="shared" si="18"/>
        <v>0</v>
      </c>
    </row>
    <row r="453" spans="1:7" s="61" customFormat="1">
      <c r="A453" s="65">
        <v>442</v>
      </c>
      <c r="B453" s="65" t="s">
        <v>629</v>
      </c>
      <c r="C453" s="65" t="s">
        <v>523</v>
      </c>
      <c r="D453" s="68" t="s">
        <v>108</v>
      </c>
      <c r="E453" s="65"/>
      <c r="F453" s="69">
        <v>5</v>
      </c>
      <c r="G453" s="69">
        <f t="shared" si="18"/>
        <v>0</v>
      </c>
    </row>
    <row r="454" spans="1:7" s="61" customFormat="1">
      <c r="A454" s="65">
        <v>443</v>
      </c>
      <c r="B454" s="65" t="s">
        <v>629</v>
      </c>
      <c r="C454" s="65" t="s">
        <v>524</v>
      </c>
      <c r="D454" s="68" t="s">
        <v>108</v>
      </c>
      <c r="E454" s="65"/>
      <c r="F454" s="69">
        <v>5.25</v>
      </c>
      <c r="G454" s="69">
        <f t="shared" si="18"/>
        <v>0</v>
      </c>
    </row>
    <row r="455" spans="1:7" s="61" customFormat="1">
      <c r="A455" s="65">
        <v>444</v>
      </c>
      <c r="B455" s="65" t="s">
        <v>629</v>
      </c>
      <c r="C455" s="65" t="s">
        <v>525</v>
      </c>
      <c r="D455" s="68" t="s">
        <v>108</v>
      </c>
      <c r="E455" s="65"/>
      <c r="F455" s="69">
        <v>3.5</v>
      </c>
      <c r="G455" s="69">
        <f t="shared" si="18"/>
        <v>0</v>
      </c>
    </row>
    <row r="456" spans="1:7" s="61" customFormat="1">
      <c r="A456" s="65">
        <v>445</v>
      </c>
      <c r="B456" s="65" t="s">
        <v>629</v>
      </c>
      <c r="C456" s="65" t="s">
        <v>526</v>
      </c>
      <c r="D456" s="68" t="s">
        <v>108</v>
      </c>
      <c r="E456" s="65"/>
      <c r="F456" s="69">
        <v>3.5</v>
      </c>
      <c r="G456" s="69">
        <f t="shared" si="18"/>
        <v>0</v>
      </c>
    </row>
    <row r="457" spans="1:7" s="61" customFormat="1">
      <c r="A457" s="65">
        <v>446</v>
      </c>
      <c r="B457" s="65" t="s">
        <v>629</v>
      </c>
      <c r="C457" s="65" t="s">
        <v>527</v>
      </c>
      <c r="D457" s="68" t="s">
        <v>108</v>
      </c>
      <c r="E457" s="65"/>
      <c r="F457" s="69">
        <v>3.5</v>
      </c>
      <c r="G457" s="69">
        <f t="shared" si="18"/>
        <v>0</v>
      </c>
    </row>
    <row r="458" spans="1:7" s="61" customFormat="1">
      <c r="A458" s="65">
        <v>447</v>
      </c>
      <c r="B458" s="65" t="s">
        <v>629</v>
      </c>
      <c r="C458" s="65" t="s">
        <v>528</v>
      </c>
      <c r="D458" s="68" t="s">
        <v>108</v>
      </c>
      <c r="E458" s="65"/>
      <c r="F458" s="69">
        <v>3.5</v>
      </c>
      <c r="G458" s="69">
        <f t="shared" si="18"/>
        <v>0</v>
      </c>
    </row>
    <row r="459" spans="1:7" s="61" customFormat="1">
      <c r="A459" s="65">
        <v>448</v>
      </c>
      <c r="B459" s="65" t="s">
        <v>629</v>
      </c>
      <c r="C459" s="65" t="s">
        <v>529</v>
      </c>
      <c r="D459" s="68" t="s">
        <v>108</v>
      </c>
      <c r="E459" s="65"/>
      <c r="F459" s="69">
        <v>4.5</v>
      </c>
      <c r="G459" s="69">
        <f t="shared" si="18"/>
        <v>0</v>
      </c>
    </row>
    <row r="460" spans="1:7" s="61" customFormat="1">
      <c r="A460" s="65">
        <v>449</v>
      </c>
      <c r="B460" s="65" t="s">
        <v>629</v>
      </c>
      <c r="C460" s="65" t="s">
        <v>530</v>
      </c>
      <c r="D460" s="68" t="s">
        <v>108</v>
      </c>
      <c r="E460" s="65"/>
      <c r="F460" s="69">
        <v>7.5</v>
      </c>
      <c r="G460" s="69">
        <f t="shared" si="18"/>
        <v>0</v>
      </c>
    </row>
    <row r="461" spans="1:7" s="61" customFormat="1">
      <c r="A461" s="65">
        <v>450</v>
      </c>
      <c r="B461" s="65" t="s">
        <v>629</v>
      </c>
      <c r="C461" s="65" t="s">
        <v>531</v>
      </c>
      <c r="D461" s="68" t="s">
        <v>108</v>
      </c>
      <c r="E461" s="65">
        <v>12</v>
      </c>
      <c r="F461" s="69">
        <v>5</v>
      </c>
      <c r="G461" s="69">
        <f t="shared" si="18"/>
        <v>60</v>
      </c>
    </row>
    <row r="462" spans="1:7" s="61" customFormat="1">
      <c r="A462" s="65">
        <v>451</v>
      </c>
      <c r="B462" s="65" t="s">
        <v>629</v>
      </c>
      <c r="C462" s="65" t="s">
        <v>532</v>
      </c>
      <c r="D462" s="68" t="s">
        <v>108</v>
      </c>
      <c r="E462" s="65"/>
      <c r="F462" s="69">
        <v>5.25</v>
      </c>
      <c r="G462" s="69">
        <f t="shared" si="18"/>
        <v>0</v>
      </c>
    </row>
    <row r="463" spans="1:7" s="61" customFormat="1">
      <c r="A463" s="65">
        <v>452</v>
      </c>
      <c r="B463" s="65" t="s">
        <v>629</v>
      </c>
      <c r="C463" s="65" t="s">
        <v>533</v>
      </c>
      <c r="D463" s="68" t="s">
        <v>108</v>
      </c>
      <c r="E463" s="65"/>
      <c r="F463" s="69">
        <v>7.8</v>
      </c>
      <c r="G463" s="69">
        <f t="shared" si="18"/>
        <v>0</v>
      </c>
    </row>
    <row r="464" spans="1:7" s="61" customFormat="1">
      <c r="A464" s="65">
        <v>453</v>
      </c>
      <c r="B464" s="65" t="s">
        <v>629</v>
      </c>
      <c r="C464" s="65" t="s">
        <v>534</v>
      </c>
      <c r="D464" s="68" t="s">
        <v>108</v>
      </c>
      <c r="E464" s="65"/>
      <c r="F464" s="69">
        <v>6.8</v>
      </c>
      <c r="G464" s="69">
        <f t="shared" si="18"/>
        <v>0</v>
      </c>
    </row>
    <row r="465" spans="1:7" s="61" customFormat="1">
      <c r="A465" s="65">
        <v>454</v>
      </c>
      <c r="B465" s="65" t="s">
        <v>629</v>
      </c>
      <c r="C465" s="65" t="s">
        <v>535</v>
      </c>
      <c r="D465" s="68" t="s">
        <v>108</v>
      </c>
      <c r="E465" s="65"/>
      <c r="F465" s="69">
        <v>5.75</v>
      </c>
      <c r="G465" s="69">
        <f t="shared" si="18"/>
        <v>0</v>
      </c>
    </row>
    <row r="466" spans="1:7" s="61" customFormat="1">
      <c r="A466" s="65">
        <v>455</v>
      </c>
      <c r="B466" s="65" t="s">
        <v>630</v>
      </c>
      <c r="C466" s="65" t="s">
        <v>536</v>
      </c>
      <c r="D466" s="68" t="s">
        <v>108</v>
      </c>
      <c r="E466" s="65"/>
      <c r="F466" s="69">
        <v>9.4</v>
      </c>
      <c r="G466" s="69">
        <f t="shared" si="18"/>
        <v>0</v>
      </c>
    </row>
    <row r="467" spans="1:7" s="61" customFormat="1">
      <c r="A467" s="65">
        <v>456</v>
      </c>
      <c r="B467" s="65" t="s">
        <v>630</v>
      </c>
      <c r="C467" s="65" t="s">
        <v>537</v>
      </c>
      <c r="D467" s="68" t="s">
        <v>108</v>
      </c>
      <c r="E467" s="65"/>
      <c r="F467" s="69">
        <v>8.25</v>
      </c>
      <c r="G467" s="69">
        <f t="shared" si="18"/>
        <v>0</v>
      </c>
    </row>
    <row r="468" spans="1:7" s="61" customFormat="1">
      <c r="A468" s="65">
        <v>457</v>
      </c>
      <c r="B468" s="65" t="s">
        <v>630</v>
      </c>
      <c r="C468" s="65" t="s">
        <v>538</v>
      </c>
      <c r="D468" s="68" t="s">
        <v>108</v>
      </c>
      <c r="E468" s="65"/>
      <c r="F468" s="69">
        <v>3.85</v>
      </c>
      <c r="G468" s="69">
        <f t="shared" si="18"/>
        <v>0</v>
      </c>
    </row>
    <row r="469" spans="1:7" s="61" customFormat="1">
      <c r="A469" s="65">
        <v>458</v>
      </c>
      <c r="B469" s="65" t="s">
        <v>630</v>
      </c>
      <c r="C469" s="65" t="s">
        <v>539</v>
      </c>
      <c r="D469" s="68" t="s">
        <v>108</v>
      </c>
      <c r="E469" s="65"/>
      <c r="F469" s="69">
        <v>5.8</v>
      </c>
      <c r="G469" s="69">
        <f t="shared" si="18"/>
        <v>0</v>
      </c>
    </row>
    <row r="470" spans="1:7" s="61" customFormat="1">
      <c r="A470" s="65">
        <v>459</v>
      </c>
      <c r="B470" s="65" t="s">
        <v>630</v>
      </c>
      <c r="C470" s="65" t="s">
        <v>540</v>
      </c>
      <c r="D470" s="68" t="s">
        <v>108</v>
      </c>
      <c r="E470" s="65"/>
      <c r="F470" s="69">
        <v>4.2</v>
      </c>
      <c r="G470" s="69">
        <f t="shared" ref="G470:G485" si="19">E470*F470</f>
        <v>0</v>
      </c>
    </row>
    <row r="471" spans="1:7" s="61" customFormat="1">
      <c r="A471" s="65">
        <v>460</v>
      </c>
      <c r="B471" s="65" t="s">
        <v>631</v>
      </c>
      <c r="C471" s="65" t="s">
        <v>541</v>
      </c>
      <c r="D471" s="68" t="s">
        <v>108</v>
      </c>
      <c r="E471" s="65"/>
      <c r="F471" s="69">
        <v>11.45</v>
      </c>
      <c r="G471" s="69">
        <f t="shared" si="19"/>
        <v>0</v>
      </c>
    </row>
    <row r="472" spans="1:7" s="61" customFormat="1">
      <c r="A472" s="65">
        <v>461</v>
      </c>
      <c r="B472" s="65" t="s">
        <v>631</v>
      </c>
      <c r="C472" s="65" t="s">
        <v>542</v>
      </c>
      <c r="D472" s="68" t="s">
        <v>108</v>
      </c>
      <c r="E472" s="65"/>
      <c r="F472" s="69">
        <v>10</v>
      </c>
      <c r="G472" s="69">
        <f t="shared" si="19"/>
        <v>0</v>
      </c>
    </row>
    <row r="473" spans="1:7" s="61" customFormat="1">
      <c r="A473" s="65">
        <v>462</v>
      </c>
      <c r="B473" s="65" t="s">
        <v>631</v>
      </c>
      <c r="C473" s="65" t="s">
        <v>543</v>
      </c>
      <c r="D473" s="68" t="s">
        <v>108</v>
      </c>
      <c r="E473" s="65"/>
      <c r="F473" s="69">
        <v>10</v>
      </c>
      <c r="G473" s="69">
        <f t="shared" si="19"/>
        <v>0</v>
      </c>
    </row>
    <row r="474" spans="1:7" s="61" customFormat="1">
      <c r="A474" s="65">
        <v>463</v>
      </c>
      <c r="B474" s="65" t="s">
        <v>560</v>
      </c>
      <c r="C474" s="65" t="s">
        <v>544</v>
      </c>
      <c r="D474" s="68" t="s">
        <v>108</v>
      </c>
      <c r="E474" s="65"/>
      <c r="F474" s="69">
        <v>14.45</v>
      </c>
      <c r="G474" s="69">
        <f t="shared" si="19"/>
        <v>0</v>
      </c>
    </row>
    <row r="475" spans="1:7" s="61" customFormat="1">
      <c r="A475" s="65">
        <v>464</v>
      </c>
      <c r="B475" s="65" t="s">
        <v>632</v>
      </c>
      <c r="C475" s="65" t="s">
        <v>545</v>
      </c>
      <c r="D475" s="68" t="s">
        <v>108</v>
      </c>
      <c r="E475" s="65"/>
      <c r="F475" s="69">
        <v>13.75</v>
      </c>
      <c r="G475" s="69">
        <f t="shared" si="19"/>
        <v>0</v>
      </c>
    </row>
    <row r="476" spans="1:7" s="61" customFormat="1">
      <c r="A476" s="65">
        <v>465</v>
      </c>
      <c r="B476" s="65" t="s">
        <v>632</v>
      </c>
      <c r="C476" s="65" t="s">
        <v>546</v>
      </c>
      <c r="D476" s="68" t="s">
        <v>108</v>
      </c>
      <c r="E476" s="65"/>
      <c r="F476" s="69">
        <v>15</v>
      </c>
      <c r="G476" s="69">
        <f t="shared" si="19"/>
        <v>0</v>
      </c>
    </row>
    <row r="477" spans="1:7" s="61" customFormat="1">
      <c r="A477" s="65">
        <v>466</v>
      </c>
      <c r="B477" s="65" t="s">
        <v>632</v>
      </c>
      <c r="C477" s="65" t="s">
        <v>547</v>
      </c>
      <c r="D477" s="68" t="s">
        <v>108</v>
      </c>
      <c r="E477" s="65"/>
      <c r="F477" s="69">
        <v>32</v>
      </c>
      <c r="G477" s="69">
        <f t="shared" si="19"/>
        <v>0</v>
      </c>
    </row>
    <row r="478" spans="1:7" s="61" customFormat="1">
      <c r="A478" s="65">
        <v>467</v>
      </c>
      <c r="B478" s="65" t="s">
        <v>632</v>
      </c>
      <c r="C478" s="65" t="s">
        <v>548</v>
      </c>
      <c r="D478" s="68" t="s">
        <v>108</v>
      </c>
      <c r="E478" s="65"/>
      <c r="F478" s="69">
        <v>70</v>
      </c>
      <c r="G478" s="69">
        <f t="shared" si="19"/>
        <v>0</v>
      </c>
    </row>
    <row r="479" spans="1:7" s="61" customFormat="1">
      <c r="A479" s="65">
        <v>468</v>
      </c>
      <c r="B479" s="65" t="s">
        <v>632</v>
      </c>
      <c r="C479" s="65" t="s">
        <v>549</v>
      </c>
      <c r="D479" s="68" t="s">
        <v>108</v>
      </c>
      <c r="E479" s="65"/>
      <c r="F479" s="69">
        <v>59</v>
      </c>
      <c r="G479" s="69">
        <f t="shared" si="19"/>
        <v>0</v>
      </c>
    </row>
    <row r="480" spans="1:7" s="61" customFormat="1">
      <c r="A480" s="65">
        <v>469</v>
      </c>
      <c r="B480" s="65" t="s">
        <v>632</v>
      </c>
      <c r="C480" s="65" t="s">
        <v>550</v>
      </c>
      <c r="D480" s="68" t="s">
        <v>108</v>
      </c>
      <c r="E480" s="65"/>
      <c r="F480" s="69">
        <v>15</v>
      </c>
      <c r="G480" s="69">
        <f t="shared" si="19"/>
        <v>0</v>
      </c>
    </row>
    <row r="481" spans="1:7" s="61" customFormat="1">
      <c r="A481" s="65">
        <v>470</v>
      </c>
      <c r="B481" s="65" t="s">
        <v>633</v>
      </c>
      <c r="C481" s="65" t="s">
        <v>551</v>
      </c>
      <c r="D481" s="68" t="s">
        <v>108</v>
      </c>
      <c r="E481" s="65"/>
      <c r="F481" s="69">
        <v>1.35</v>
      </c>
      <c r="G481" s="69">
        <f t="shared" si="19"/>
        <v>0</v>
      </c>
    </row>
    <row r="482" spans="1:7" s="61" customFormat="1">
      <c r="A482" s="65">
        <v>471</v>
      </c>
      <c r="B482" s="65" t="s">
        <v>633</v>
      </c>
      <c r="C482" s="65" t="s">
        <v>552</v>
      </c>
      <c r="D482" s="68" t="s">
        <v>108</v>
      </c>
      <c r="E482" s="65"/>
      <c r="F482" s="69">
        <v>1.35</v>
      </c>
      <c r="G482" s="69">
        <f t="shared" si="19"/>
        <v>0</v>
      </c>
    </row>
    <row r="483" spans="1:7" s="61" customFormat="1">
      <c r="A483" s="65">
        <v>472</v>
      </c>
      <c r="B483" s="65" t="s">
        <v>633</v>
      </c>
      <c r="C483" s="65" t="s">
        <v>553</v>
      </c>
      <c r="D483" s="68" t="s">
        <v>108</v>
      </c>
      <c r="E483" s="65"/>
      <c r="F483" s="69">
        <v>9.35</v>
      </c>
      <c r="G483" s="69">
        <f t="shared" si="19"/>
        <v>0</v>
      </c>
    </row>
    <row r="484" spans="1:7" s="61" customFormat="1">
      <c r="A484" s="65">
        <v>473</v>
      </c>
      <c r="B484" s="65" t="s">
        <v>633</v>
      </c>
      <c r="C484" s="65" t="s">
        <v>554</v>
      </c>
      <c r="D484" s="68" t="s">
        <v>108</v>
      </c>
      <c r="E484" s="65"/>
      <c r="F484" s="69">
        <v>9.35</v>
      </c>
      <c r="G484" s="69">
        <f t="shared" si="19"/>
        <v>0</v>
      </c>
    </row>
    <row r="485" spans="1:7" s="61" customFormat="1">
      <c r="A485" s="65">
        <v>474</v>
      </c>
      <c r="B485" s="65" t="s">
        <v>633</v>
      </c>
      <c r="C485" s="65" t="s">
        <v>555</v>
      </c>
      <c r="D485" s="68" t="s">
        <v>108</v>
      </c>
      <c r="E485" s="65"/>
      <c r="F485" s="69">
        <v>9.35</v>
      </c>
      <c r="G485" s="69">
        <f t="shared" si="19"/>
        <v>0</v>
      </c>
    </row>
    <row r="487" spans="1:7">
      <c r="A487" s="57" t="s">
        <v>652</v>
      </c>
    </row>
  </sheetData>
  <autoFilter ref="A11:G121">
    <sortState ref="A12:G563">
      <sortCondition ref="B11:B562"/>
    </sortState>
  </autoFilter>
  <sortState ref="A12:G428">
    <sortCondition ref="B12:B428"/>
  </sortState>
  <mergeCells count="6">
    <mergeCell ref="A1:G3"/>
    <mergeCell ref="A9:G10"/>
    <mergeCell ref="A7:G7"/>
    <mergeCell ref="A6:G6"/>
    <mergeCell ref="A5:G5"/>
    <mergeCell ref="A4:G4"/>
  </mergeCells>
  <hyperlinks>
    <hyperlink ref="A7" r:id="rId1" display="supply@caribbeanps.com.gt // "/>
  </hyperlinks>
  <pageMargins left="0.7" right="0.7" top="0.75" bottom="0.75" header="0.3" footer="0.3"/>
  <pageSetup scale="82"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2"/>
  <sheetViews>
    <sheetView topLeftCell="A76" zoomScale="112" workbookViewId="0">
      <selection activeCell="C7" sqref="C7"/>
    </sheetView>
  </sheetViews>
  <sheetFormatPr defaultColWidth="27.42578125" defaultRowHeight="15"/>
  <cols>
    <col min="1" max="1" width="5.42578125" style="56" customWidth="1"/>
    <col min="2" max="2" width="20.28515625" style="56" customWidth="1"/>
    <col min="3" max="3" width="38.28515625" style="56" customWidth="1"/>
    <col min="4" max="4" width="7.7109375" style="56" customWidth="1"/>
    <col min="5" max="5" width="7.140625" style="56" customWidth="1"/>
    <col min="6" max="6" width="11.28515625" style="56" customWidth="1"/>
    <col min="7" max="7" width="11.7109375" style="56" customWidth="1"/>
    <col min="8" max="16384" width="27.42578125" style="56"/>
  </cols>
  <sheetData>
    <row r="1" spans="1:7" s="38" customFormat="1">
      <c r="A1" s="97" t="s">
        <v>20</v>
      </c>
      <c r="B1" s="98"/>
      <c r="C1" s="98"/>
      <c r="D1" s="98"/>
      <c r="E1" s="98"/>
      <c r="F1" s="98"/>
      <c r="G1" s="99"/>
    </row>
    <row r="2" spans="1:7" s="38" customFormat="1">
      <c r="A2" s="47"/>
      <c r="B2" s="48"/>
      <c r="C2" s="48"/>
      <c r="D2" s="48"/>
      <c r="E2" s="48"/>
      <c r="F2" s="100"/>
      <c r="G2" s="101"/>
    </row>
    <row r="3" spans="1:7" s="38" customFormat="1" ht="22.15" customHeight="1">
      <c r="A3" s="49" t="s">
        <v>134</v>
      </c>
      <c r="C3" s="50"/>
      <c r="D3" s="50"/>
      <c r="G3" s="51"/>
    </row>
    <row r="4" spans="1:7" s="38" customFormat="1" ht="18.75">
      <c r="A4" s="49"/>
      <c r="C4" s="52" t="s">
        <v>26</v>
      </c>
      <c r="D4" s="52"/>
      <c r="G4" s="51"/>
    </row>
    <row r="5" spans="1:7" s="38" customFormat="1" ht="18" customHeight="1">
      <c r="A5" s="49"/>
      <c r="C5" s="38" t="s">
        <v>104</v>
      </c>
      <c r="G5" s="51"/>
    </row>
    <row r="6" spans="1:7" s="38" customFormat="1" ht="18" customHeight="1">
      <c r="A6" s="49"/>
      <c r="G6" s="51"/>
    </row>
    <row r="7" spans="1:7" s="38" customFormat="1" ht="18" customHeight="1">
      <c r="A7" s="49"/>
      <c r="G7" s="51"/>
    </row>
    <row r="8" spans="1:7" s="38" customFormat="1" ht="21" customHeight="1" thickBot="1">
      <c r="A8" s="53"/>
      <c r="B8" s="54"/>
      <c r="C8" s="54"/>
      <c r="D8" s="54"/>
      <c r="E8" s="54"/>
      <c r="F8" s="54"/>
      <c r="G8" s="55"/>
    </row>
    <row r="9" spans="1:7" s="38" customFormat="1">
      <c r="A9" s="102" t="s">
        <v>136</v>
      </c>
      <c r="B9" s="103"/>
      <c r="C9" s="103"/>
      <c r="D9" s="103"/>
      <c r="E9" s="103"/>
      <c r="F9" s="103"/>
      <c r="G9" s="104"/>
    </row>
    <row r="10" spans="1:7" s="38" customFormat="1" ht="9" customHeight="1">
      <c r="A10" s="105"/>
      <c r="B10" s="106"/>
      <c r="C10" s="106"/>
      <c r="D10" s="106"/>
      <c r="E10" s="106"/>
      <c r="F10" s="106"/>
      <c r="G10" s="107"/>
    </row>
    <row r="11" spans="1:7" ht="24" customHeight="1">
      <c r="A11" s="39" t="s">
        <v>19</v>
      </c>
      <c r="B11" s="40" t="s">
        <v>23</v>
      </c>
      <c r="C11" s="41" t="s">
        <v>24</v>
      </c>
      <c r="D11" s="41" t="s">
        <v>108</v>
      </c>
      <c r="E11" s="41" t="s">
        <v>0</v>
      </c>
      <c r="F11" s="41" t="s">
        <v>1</v>
      </c>
      <c r="G11" s="42" t="s">
        <v>4</v>
      </c>
    </row>
    <row r="12" spans="1:7">
      <c r="A12" s="18">
        <v>1</v>
      </c>
      <c r="B12" s="43" t="s">
        <v>29</v>
      </c>
      <c r="C12" s="31" t="s">
        <v>106</v>
      </c>
      <c r="D12" s="35" t="s">
        <v>109</v>
      </c>
      <c r="E12" s="30"/>
      <c r="F12" s="16">
        <v>22</v>
      </c>
      <c r="G12" s="19">
        <f t="shared" ref="G12:G88" si="0">E12*F12</f>
        <v>0</v>
      </c>
    </row>
    <row r="13" spans="1:7">
      <c r="A13" s="18">
        <v>2</v>
      </c>
      <c r="B13" s="43" t="s">
        <v>29</v>
      </c>
      <c r="C13" s="31" t="s">
        <v>113</v>
      </c>
      <c r="D13" s="35" t="s">
        <v>109</v>
      </c>
      <c r="E13" s="30"/>
      <c r="F13" s="16">
        <v>18.899999999999999</v>
      </c>
      <c r="G13" s="19">
        <f t="shared" si="0"/>
        <v>0</v>
      </c>
    </row>
    <row r="14" spans="1:7">
      <c r="A14" s="18">
        <v>3</v>
      </c>
      <c r="B14" s="43" t="s">
        <v>29</v>
      </c>
      <c r="C14" s="31" t="s">
        <v>58</v>
      </c>
      <c r="D14" s="35" t="s">
        <v>109</v>
      </c>
      <c r="E14" s="30"/>
      <c r="F14" s="16">
        <v>32</v>
      </c>
      <c r="G14" s="19">
        <f t="shared" si="0"/>
        <v>0</v>
      </c>
    </row>
    <row r="15" spans="1:7">
      <c r="A15" s="18">
        <v>4</v>
      </c>
      <c r="B15" s="43" t="s">
        <v>29</v>
      </c>
      <c r="C15" s="31" t="s">
        <v>30</v>
      </c>
      <c r="D15" s="35" t="s">
        <v>109</v>
      </c>
      <c r="E15" s="30"/>
      <c r="F15" s="16">
        <v>50</v>
      </c>
      <c r="G15" s="19">
        <f t="shared" si="0"/>
        <v>0</v>
      </c>
    </row>
    <row r="16" spans="1:7">
      <c r="A16" s="18">
        <v>5</v>
      </c>
      <c r="B16" s="18" t="s">
        <v>2</v>
      </c>
      <c r="C16" s="31" t="s">
        <v>114</v>
      </c>
      <c r="D16" s="35" t="s">
        <v>61</v>
      </c>
      <c r="E16" s="30"/>
      <c r="F16" s="16">
        <v>17</v>
      </c>
      <c r="G16" s="19">
        <f t="shared" si="0"/>
        <v>0</v>
      </c>
    </row>
    <row r="17" spans="1:8">
      <c r="A17" s="18">
        <v>6</v>
      </c>
      <c r="B17" s="18" t="s">
        <v>2</v>
      </c>
      <c r="C17" s="31" t="s">
        <v>107</v>
      </c>
      <c r="D17" s="35" t="s">
        <v>61</v>
      </c>
      <c r="E17" s="30"/>
      <c r="F17" s="16">
        <v>8.1999999999999993</v>
      </c>
      <c r="G17" s="19">
        <f t="shared" si="0"/>
        <v>0</v>
      </c>
    </row>
    <row r="18" spans="1:8">
      <c r="A18" s="18">
        <v>7</v>
      </c>
      <c r="B18" s="18" t="s">
        <v>2</v>
      </c>
      <c r="C18" s="31" t="s">
        <v>132</v>
      </c>
      <c r="D18" s="35" t="s">
        <v>61</v>
      </c>
      <c r="E18" s="30"/>
      <c r="F18" s="16">
        <v>7.6</v>
      </c>
      <c r="G18" s="19">
        <f t="shared" si="0"/>
        <v>0</v>
      </c>
    </row>
    <row r="19" spans="1:8">
      <c r="A19" s="18">
        <v>8</v>
      </c>
      <c r="B19" s="18" t="s">
        <v>2</v>
      </c>
      <c r="C19" s="31" t="s">
        <v>31</v>
      </c>
      <c r="D19" s="35" t="s">
        <v>61</v>
      </c>
      <c r="E19" s="30"/>
      <c r="F19" s="16">
        <v>10.9</v>
      </c>
      <c r="G19" s="19">
        <f t="shared" si="0"/>
        <v>0</v>
      </c>
      <c r="H19" s="56" t="s">
        <v>105</v>
      </c>
    </row>
    <row r="20" spans="1:8">
      <c r="A20" s="18">
        <v>9</v>
      </c>
      <c r="B20" s="18" t="s">
        <v>2</v>
      </c>
      <c r="C20" s="31" t="s">
        <v>115</v>
      </c>
      <c r="D20" s="35" t="s">
        <v>61</v>
      </c>
      <c r="E20" s="30"/>
      <c r="F20" s="16">
        <v>8.4</v>
      </c>
      <c r="G20" s="19">
        <f t="shared" si="0"/>
        <v>0</v>
      </c>
    </row>
    <row r="21" spans="1:8">
      <c r="A21" s="18">
        <v>10</v>
      </c>
      <c r="B21" s="43" t="s">
        <v>32</v>
      </c>
      <c r="C21" s="31" t="s">
        <v>103</v>
      </c>
      <c r="D21" s="35" t="s">
        <v>61</v>
      </c>
      <c r="E21" s="30"/>
      <c r="F21" s="16">
        <v>16</v>
      </c>
      <c r="G21" s="19">
        <f t="shared" ref="G21" si="1">E21*F21</f>
        <v>0</v>
      </c>
    </row>
    <row r="22" spans="1:8">
      <c r="A22" s="18">
        <v>11</v>
      </c>
      <c r="B22" s="43" t="s">
        <v>32</v>
      </c>
      <c r="C22" s="44" t="s">
        <v>82</v>
      </c>
      <c r="D22" s="35" t="s">
        <v>18</v>
      </c>
      <c r="E22" s="30"/>
      <c r="F22" s="16">
        <v>9</v>
      </c>
      <c r="G22" s="19">
        <f t="shared" si="0"/>
        <v>0</v>
      </c>
    </row>
    <row r="23" spans="1:8">
      <c r="A23" s="18">
        <v>12</v>
      </c>
      <c r="B23" s="43" t="s">
        <v>33</v>
      </c>
      <c r="C23" s="44" t="s">
        <v>80</v>
      </c>
      <c r="D23" s="30" t="s">
        <v>18</v>
      </c>
      <c r="E23" s="30"/>
      <c r="F23" s="16">
        <v>13.8</v>
      </c>
      <c r="G23" s="19">
        <f t="shared" si="0"/>
        <v>0</v>
      </c>
    </row>
    <row r="24" spans="1:8">
      <c r="A24" s="18">
        <v>13</v>
      </c>
      <c r="B24" s="43" t="s">
        <v>33</v>
      </c>
      <c r="C24" s="44" t="s">
        <v>81</v>
      </c>
      <c r="D24" s="30" t="s">
        <v>18</v>
      </c>
      <c r="E24" s="30"/>
      <c r="F24" s="16">
        <v>15</v>
      </c>
      <c r="G24" s="19">
        <f t="shared" si="0"/>
        <v>0</v>
      </c>
    </row>
    <row r="25" spans="1:8">
      <c r="A25" s="18">
        <v>14</v>
      </c>
      <c r="B25" s="43" t="s">
        <v>33</v>
      </c>
      <c r="C25" s="31" t="s">
        <v>116</v>
      </c>
      <c r="D25" s="30" t="s">
        <v>18</v>
      </c>
      <c r="E25" s="30"/>
      <c r="F25" s="16">
        <v>28</v>
      </c>
      <c r="G25" s="19">
        <f t="shared" si="0"/>
        <v>0</v>
      </c>
    </row>
    <row r="26" spans="1:8">
      <c r="A26" s="18">
        <v>15</v>
      </c>
      <c r="B26" s="43" t="s">
        <v>33</v>
      </c>
      <c r="C26" s="31" t="s">
        <v>69</v>
      </c>
      <c r="D26" s="35" t="s">
        <v>18</v>
      </c>
      <c r="E26" s="30"/>
      <c r="F26" s="16">
        <v>32</v>
      </c>
      <c r="G26" s="19">
        <f t="shared" si="0"/>
        <v>0</v>
      </c>
    </row>
    <row r="27" spans="1:8">
      <c r="A27" s="18">
        <v>16</v>
      </c>
      <c r="B27" s="43" t="s">
        <v>33</v>
      </c>
      <c r="C27" s="31" t="s">
        <v>70</v>
      </c>
      <c r="D27" s="35" t="s">
        <v>18</v>
      </c>
      <c r="E27" s="30"/>
      <c r="F27" s="16">
        <v>70</v>
      </c>
      <c r="G27" s="19">
        <f t="shared" si="0"/>
        <v>0</v>
      </c>
    </row>
    <row r="28" spans="1:8">
      <c r="A28" s="18">
        <v>17</v>
      </c>
      <c r="B28" s="43" t="s">
        <v>33</v>
      </c>
      <c r="C28" s="44" t="s">
        <v>90</v>
      </c>
      <c r="D28" s="35" t="s">
        <v>18</v>
      </c>
      <c r="E28" s="30"/>
      <c r="F28" s="16">
        <v>32</v>
      </c>
      <c r="G28" s="19">
        <f t="shared" si="0"/>
        <v>0</v>
      </c>
    </row>
    <row r="29" spans="1:8">
      <c r="A29" s="18">
        <v>18</v>
      </c>
      <c r="B29" s="43" t="s">
        <v>33</v>
      </c>
      <c r="C29" s="31" t="s">
        <v>34</v>
      </c>
      <c r="D29" s="30" t="s">
        <v>18</v>
      </c>
      <c r="E29" s="30"/>
      <c r="F29" s="16">
        <v>32</v>
      </c>
      <c r="G29" s="19">
        <f t="shared" si="0"/>
        <v>0</v>
      </c>
    </row>
    <row r="30" spans="1:8">
      <c r="A30" s="18">
        <v>19</v>
      </c>
      <c r="B30" s="43" t="s">
        <v>33</v>
      </c>
      <c r="C30" s="31" t="s">
        <v>71</v>
      </c>
      <c r="D30" s="35" t="s">
        <v>18</v>
      </c>
      <c r="E30" s="30"/>
      <c r="F30" s="16">
        <v>59</v>
      </c>
      <c r="G30" s="19">
        <f t="shared" si="0"/>
        <v>0</v>
      </c>
    </row>
    <row r="31" spans="1:8">
      <c r="A31" s="18">
        <v>20</v>
      </c>
      <c r="B31" s="43" t="s">
        <v>33</v>
      </c>
      <c r="C31" s="45" t="s">
        <v>72</v>
      </c>
      <c r="D31" s="35" t="s">
        <v>18</v>
      </c>
      <c r="E31" s="30"/>
      <c r="F31" s="16">
        <v>75</v>
      </c>
      <c r="G31" s="19">
        <f t="shared" si="0"/>
        <v>0</v>
      </c>
    </row>
    <row r="32" spans="1:8">
      <c r="A32" s="18">
        <v>21</v>
      </c>
      <c r="B32" s="43" t="s">
        <v>33</v>
      </c>
      <c r="C32" s="31" t="s">
        <v>48</v>
      </c>
      <c r="D32" s="36" t="s">
        <v>18</v>
      </c>
      <c r="E32" s="30"/>
      <c r="F32" s="16">
        <v>15</v>
      </c>
      <c r="G32" s="19">
        <f t="shared" si="0"/>
        <v>0</v>
      </c>
    </row>
    <row r="33" spans="1:7">
      <c r="A33" s="18">
        <v>22</v>
      </c>
      <c r="B33" s="43" t="s">
        <v>63</v>
      </c>
      <c r="C33" s="44" t="s">
        <v>76</v>
      </c>
      <c r="D33" s="35" t="s">
        <v>18</v>
      </c>
      <c r="E33" s="30"/>
      <c r="F33" s="16">
        <v>12</v>
      </c>
      <c r="G33" s="19">
        <f t="shared" si="0"/>
        <v>0</v>
      </c>
    </row>
    <row r="34" spans="1:7">
      <c r="A34" s="18">
        <v>23</v>
      </c>
      <c r="B34" s="43" t="s">
        <v>63</v>
      </c>
      <c r="C34" s="44" t="s">
        <v>77</v>
      </c>
      <c r="D34" s="30" t="s">
        <v>18</v>
      </c>
      <c r="E34" s="30"/>
      <c r="F34" s="16">
        <v>17.8</v>
      </c>
      <c r="G34" s="19">
        <f t="shared" si="0"/>
        <v>0</v>
      </c>
    </row>
    <row r="35" spans="1:7">
      <c r="A35" s="18">
        <v>24</v>
      </c>
      <c r="B35" s="43" t="s">
        <v>63</v>
      </c>
      <c r="C35" s="44" t="s">
        <v>78</v>
      </c>
      <c r="D35" s="30" t="s">
        <v>18</v>
      </c>
      <c r="E35" s="30"/>
      <c r="F35" s="16">
        <v>15</v>
      </c>
      <c r="G35" s="19">
        <f t="shared" si="0"/>
        <v>0</v>
      </c>
    </row>
    <row r="36" spans="1:7">
      <c r="A36" s="18">
        <v>25</v>
      </c>
      <c r="B36" s="43" t="s">
        <v>63</v>
      </c>
      <c r="C36" s="44" t="s">
        <v>79</v>
      </c>
      <c r="D36" s="30" t="s">
        <v>18</v>
      </c>
      <c r="E36" s="30"/>
      <c r="F36" s="16">
        <v>14.5</v>
      </c>
      <c r="G36" s="19">
        <f t="shared" si="0"/>
        <v>0</v>
      </c>
    </row>
    <row r="37" spans="1:7">
      <c r="A37" s="18">
        <v>26</v>
      </c>
      <c r="B37" s="43" t="s">
        <v>63</v>
      </c>
      <c r="C37" s="45" t="s">
        <v>66</v>
      </c>
      <c r="D37" s="30" t="s">
        <v>18</v>
      </c>
      <c r="E37" s="30"/>
      <c r="F37" s="16">
        <v>28</v>
      </c>
      <c r="G37" s="19">
        <f t="shared" si="0"/>
        <v>0</v>
      </c>
    </row>
    <row r="38" spans="1:7">
      <c r="A38" s="18">
        <v>27</v>
      </c>
      <c r="B38" s="43" t="s">
        <v>63</v>
      </c>
      <c r="C38" s="45" t="s">
        <v>91</v>
      </c>
      <c r="D38" s="36" t="s">
        <v>18</v>
      </c>
      <c r="E38" s="30"/>
      <c r="F38" s="16">
        <v>19</v>
      </c>
      <c r="G38" s="19">
        <f t="shared" si="0"/>
        <v>0</v>
      </c>
    </row>
    <row r="39" spans="1:7">
      <c r="A39" s="18">
        <v>28</v>
      </c>
      <c r="B39" s="43" t="s">
        <v>63</v>
      </c>
      <c r="C39" s="45" t="s">
        <v>92</v>
      </c>
      <c r="D39" s="36" t="s">
        <v>18</v>
      </c>
      <c r="E39" s="30"/>
      <c r="F39" s="16">
        <v>32</v>
      </c>
      <c r="G39" s="19">
        <f t="shared" si="0"/>
        <v>0</v>
      </c>
    </row>
    <row r="40" spans="1:7">
      <c r="A40" s="18">
        <v>29</v>
      </c>
      <c r="B40" s="43" t="s">
        <v>63</v>
      </c>
      <c r="C40" s="45" t="s">
        <v>93</v>
      </c>
      <c r="D40" s="36" t="s">
        <v>18</v>
      </c>
      <c r="E40" s="30"/>
      <c r="F40" s="16">
        <v>36</v>
      </c>
      <c r="G40" s="19">
        <f t="shared" si="0"/>
        <v>0</v>
      </c>
    </row>
    <row r="41" spans="1:7">
      <c r="A41" s="18">
        <v>30</v>
      </c>
      <c r="B41" s="43" t="s">
        <v>63</v>
      </c>
      <c r="C41" s="31" t="s">
        <v>64</v>
      </c>
      <c r="D41" s="36" t="s">
        <v>18</v>
      </c>
      <c r="E41" s="30"/>
      <c r="F41" s="16">
        <v>19.5</v>
      </c>
      <c r="G41" s="19">
        <f t="shared" si="0"/>
        <v>0</v>
      </c>
    </row>
    <row r="42" spans="1:7">
      <c r="A42" s="18">
        <v>31</v>
      </c>
      <c r="B42" s="43" t="s">
        <v>63</v>
      </c>
      <c r="C42" s="31" t="s">
        <v>65</v>
      </c>
      <c r="D42" s="35" t="s">
        <v>18</v>
      </c>
      <c r="E42" s="30"/>
      <c r="F42" s="16">
        <v>30</v>
      </c>
      <c r="G42" s="19">
        <f t="shared" si="0"/>
        <v>0</v>
      </c>
    </row>
    <row r="43" spans="1:7">
      <c r="A43" s="18">
        <v>32</v>
      </c>
      <c r="B43" s="43" t="s">
        <v>63</v>
      </c>
      <c r="C43" s="45" t="s">
        <v>67</v>
      </c>
      <c r="D43" s="35" t="s">
        <v>18</v>
      </c>
      <c r="E43" s="30"/>
      <c r="F43" s="16">
        <v>38</v>
      </c>
      <c r="G43" s="19">
        <f t="shared" si="0"/>
        <v>0</v>
      </c>
    </row>
    <row r="44" spans="1:7">
      <c r="A44" s="18">
        <v>33</v>
      </c>
      <c r="B44" s="43" t="s">
        <v>63</v>
      </c>
      <c r="C44" s="31" t="s">
        <v>68</v>
      </c>
      <c r="D44" s="36" t="s">
        <v>18</v>
      </c>
      <c r="E44" s="30"/>
      <c r="F44" s="16">
        <v>75</v>
      </c>
      <c r="G44" s="19">
        <f t="shared" si="0"/>
        <v>0</v>
      </c>
    </row>
    <row r="45" spans="1:7">
      <c r="A45" s="18">
        <v>34</v>
      </c>
      <c r="B45" s="43" t="s">
        <v>73</v>
      </c>
      <c r="C45" s="44" t="s">
        <v>83</v>
      </c>
      <c r="D45" s="35" t="s">
        <v>18</v>
      </c>
      <c r="E45" s="30"/>
      <c r="F45" s="46">
        <v>14.5</v>
      </c>
      <c r="G45" s="19">
        <f t="shared" si="0"/>
        <v>0</v>
      </c>
    </row>
    <row r="46" spans="1:7">
      <c r="A46" s="18">
        <v>35</v>
      </c>
      <c r="B46" s="43" t="s">
        <v>73</v>
      </c>
      <c r="C46" s="44" t="s">
        <v>84</v>
      </c>
      <c r="D46" s="30" t="s">
        <v>18</v>
      </c>
      <c r="E46" s="30"/>
      <c r="F46" s="16">
        <v>21</v>
      </c>
      <c r="G46" s="19">
        <f t="shared" si="0"/>
        <v>0</v>
      </c>
    </row>
    <row r="47" spans="1:7">
      <c r="A47" s="18">
        <v>36</v>
      </c>
      <c r="B47" s="43" t="s">
        <v>73</v>
      </c>
      <c r="C47" s="44" t="s">
        <v>85</v>
      </c>
      <c r="D47" s="30" t="s">
        <v>18</v>
      </c>
      <c r="E47" s="30"/>
      <c r="F47" s="16">
        <v>26</v>
      </c>
      <c r="G47" s="19">
        <f t="shared" si="0"/>
        <v>0</v>
      </c>
    </row>
    <row r="48" spans="1:7">
      <c r="A48" s="18">
        <v>37</v>
      </c>
      <c r="B48" s="43" t="s">
        <v>73</v>
      </c>
      <c r="C48" s="44" t="s">
        <v>86</v>
      </c>
      <c r="D48" s="30" t="s">
        <v>18</v>
      </c>
      <c r="E48" s="30"/>
      <c r="F48" s="16">
        <v>23</v>
      </c>
      <c r="G48" s="19">
        <f t="shared" si="0"/>
        <v>0</v>
      </c>
    </row>
    <row r="49" spans="1:7">
      <c r="A49" s="18">
        <v>38</v>
      </c>
      <c r="B49" s="43" t="s">
        <v>73</v>
      </c>
      <c r="C49" s="45" t="s">
        <v>74</v>
      </c>
      <c r="D49" s="30" t="s">
        <v>18</v>
      </c>
      <c r="E49" s="30"/>
      <c r="F49" s="16">
        <v>38</v>
      </c>
      <c r="G49" s="19">
        <f t="shared" si="0"/>
        <v>0</v>
      </c>
    </row>
    <row r="50" spans="1:7">
      <c r="A50" s="18">
        <v>39</v>
      </c>
      <c r="B50" s="43" t="s">
        <v>73</v>
      </c>
      <c r="C50" s="45" t="s">
        <v>75</v>
      </c>
      <c r="D50" s="36" t="s">
        <v>18</v>
      </c>
      <c r="E50" s="30"/>
      <c r="F50" s="16">
        <v>65</v>
      </c>
      <c r="G50" s="19">
        <f t="shared" si="0"/>
        <v>0</v>
      </c>
    </row>
    <row r="51" spans="1:7">
      <c r="A51" s="18">
        <v>40</v>
      </c>
      <c r="B51" s="43" t="s">
        <v>88</v>
      </c>
      <c r="C51" s="44" t="s">
        <v>87</v>
      </c>
      <c r="D51" s="36" t="s">
        <v>18</v>
      </c>
      <c r="E51" s="30"/>
      <c r="F51" s="16">
        <v>28</v>
      </c>
      <c r="G51" s="19">
        <f t="shared" si="0"/>
        <v>0</v>
      </c>
    </row>
    <row r="52" spans="1:7">
      <c r="A52" s="18">
        <v>41</v>
      </c>
      <c r="B52" s="43" t="s">
        <v>88</v>
      </c>
      <c r="C52" s="44" t="s">
        <v>89</v>
      </c>
      <c r="D52" s="30" t="s">
        <v>18</v>
      </c>
      <c r="E52" s="30"/>
      <c r="F52" s="16">
        <v>27</v>
      </c>
      <c r="G52" s="19">
        <f t="shared" si="0"/>
        <v>0</v>
      </c>
    </row>
    <row r="53" spans="1:7">
      <c r="A53" s="18">
        <v>42</v>
      </c>
      <c r="B53" s="43" t="s">
        <v>88</v>
      </c>
      <c r="C53" s="44" t="s">
        <v>117</v>
      </c>
      <c r="D53" s="30" t="s">
        <v>18</v>
      </c>
      <c r="E53" s="30"/>
      <c r="F53" s="16">
        <v>35</v>
      </c>
      <c r="G53" s="19">
        <f t="shared" si="0"/>
        <v>0</v>
      </c>
    </row>
    <row r="54" spans="1:7">
      <c r="A54" s="18">
        <v>43</v>
      </c>
      <c r="B54" s="43" t="s">
        <v>40</v>
      </c>
      <c r="C54" s="31" t="s">
        <v>41</v>
      </c>
      <c r="D54" s="35" t="s">
        <v>110</v>
      </c>
      <c r="E54" s="30"/>
      <c r="F54" s="16">
        <v>7.5</v>
      </c>
      <c r="G54" s="19">
        <f t="shared" si="0"/>
        <v>0</v>
      </c>
    </row>
    <row r="55" spans="1:7">
      <c r="A55" s="18">
        <v>44</v>
      </c>
      <c r="B55" s="43" t="s">
        <v>40</v>
      </c>
      <c r="C55" s="31" t="s">
        <v>42</v>
      </c>
      <c r="D55" s="35" t="s">
        <v>18</v>
      </c>
      <c r="E55" s="30"/>
      <c r="F55" s="16">
        <v>8.5</v>
      </c>
      <c r="G55" s="19">
        <f t="shared" si="0"/>
        <v>0</v>
      </c>
    </row>
    <row r="56" spans="1:7">
      <c r="A56" s="18">
        <v>45</v>
      </c>
      <c r="B56" s="43" t="s">
        <v>40</v>
      </c>
      <c r="C56" s="31" t="s">
        <v>43</v>
      </c>
      <c r="D56" s="35" t="s">
        <v>18</v>
      </c>
      <c r="E56" s="30"/>
      <c r="F56" s="16">
        <v>10</v>
      </c>
      <c r="G56" s="19">
        <f t="shared" si="0"/>
        <v>0</v>
      </c>
    </row>
    <row r="57" spans="1:7">
      <c r="A57" s="18">
        <v>46</v>
      </c>
      <c r="B57" s="43" t="s">
        <v>40</v>
      </c>
      <c r="C57" s="31" t="s">
        <v>118</v>
      </c>
      <c r="D57" s="30" t="s">
        <v>18</v>
      </c>
      <c r="E57" s="30"/>
      <c r="F57" s="16">
        <v>11.5</v>
      </c>
      <c r="G57" s="19">
        <f t="shared" si="0"/>
        <v>0</v>
      </c>
    </row>
    <row r="58" spans="1:7">
      <c r="A58" s="18">
        <v>47</v>
      </c>
      <c r="B58" s="43" t="s">
        <v>35</v>
      </c>
      <c r="C58" s="18" t="s">
        <v>36</v>
      </c>
      <c r="D58" s="30" t="s">
        <v>61</v>
      </c>
      <c r="E58" s="30"/>
      <c r="F58" s="16">
        <v>23</v>
      </c>
      <c r="G58" s="19">
        <f t="shared" si="0"/>
        <v>0</v>
      </c>
    </row>
    <row r="59" spans="1:7">
      <c r="A59" s="18">
        <v>48</v>
      </c>
      <c r="B59" s="43" t="s">
        <v>35</v>
      </c>
      <c r="C59" s="18" t="s">
        <v>101</v>
      </c>
      <c r="D59" s="30" t="s">
        <v>61</v>
      </c>
      <c r="E59" s="30"/>
      <c r="F59" s="16">
        <v>26</v>
      </c>
      <c r="G59" s="19">
        <f t="shared" si="0"/>
        <v>0</v>
      </c>
    </row>
    <row r="60" spans="1:7">
      <c r="A60" s="18">
        <v>49</v>
      </c>
      <c r="B60" s="43" t="s">
        <v>35</v>
      </c>
      <c r="C60" s="18" t="s">
        <v>119</v>
      </c>
      <c r="D60" s="30" t="s">
        <v>61</v>
      </c>
      <c r="E60" s="30"/>
      <c r="F60" s="16">
        <v>26</v>
      </c>
      <c r="G60" s="19">
        <f t="shared" si="0"/>
        <v>0</v>
      </c>
    </row>
    <row r="61" spans="1:7">
      <c r="A61" s="18">
        <v>50</v>
      </c>
      <c r="B61" s="43" t="s">
        <v>35</v>
      </c>
      <c r="C61" s="44" t="s">
        <v>98</v>
      </c>
      <c r="D61" s="30" t="s">
        <v>61</v>
      </c>
      <c r="E61" s="30"/>
      <c r="F61" s="16">
        <v>29</v>
      </c>
      <c r="G61" s="19">
        <f t="shared" si="0"/>
        <v>0</v>
      </c>
    </row>
    <row r="62" spans="1:7">
      <c r="A62" s="18">
        <v>51</v>
      </c>
      <c r="B62" s="43" t="s">
        <v>35</v>
      </c>
      <c r="C62" s="18" t="s">
        <v>37</v>
      </c>
      <c r="D62" s="30" t="s">
        <v>61</v>
      </c>
      <c r="E62" s="30"/>
      <c r="F62" s="16">
        <v>35</v>
      </c>
      <c r="G62" s="19">
        <f t="shared" si="0"/>
        <v>0</v>
      </c>
    </row>
    <row r="63" spans="1:7">
      <c r="A63" s="18">
        <v>52</v>
      </c>
      <c r="B63" s="43" t="s">
        <v>35</v>
      </c>
      <c r="C63" s="18" t="s">
        <v>38</v>
      </c>
      <c r="D63" s="36" t="s">
        <v>61</v>
      </c>
      <c r="E63" s="30"/>
      <c r="F63" s="16">
        <v>55</v>
      </c>
      <c r="G63" s="19">
        <f t="shared" si="0"/>
        <v>0</v>
      </c>
    </row>
    <row r="64" spans="1:7">
      <c r="A64" s="18">
        <v>53</v>
      </c>
      <c r="B64" s="43" t="s">
        <v>35</v>
      </c>
      <c r="C64" s="18" t="s">
        <v>39</v>
      </c>
      <c r="D64" s="30" t="s">
        <v>61</v>
      </c>
      <c r="E64" s="30"/>
      <c r="F64" s="16">
        <v>50</v>
      </c>
      <c r="G64" s="19">
        <f t="shared" si="0"/>
        <v>0</v>
      </c>
    </row>
    <row r="65" spans="1:7">
      <c r="A65" s="18">
        <v>54</v>
      </c>
      <c r="B65" s="43" t="s">
        <v>111</v>
      </c>
      <c r="C65" s="32" t="s">
        <v>49</v>
      </c>
      <c r="D65" s="30" t="s">
        <v>110</v>
      </c>
      <c r="E65" s="30"/>
      <c r="F65" s="19">
        <v>1.95</v>
      </c>
      <c r="G65" s="19">
        <f t="shared" si="0"/>
        <v>0</v>
      </c>
    </row>
    <row r="66" spans="1:7">
      <c r="A66" s="18">
        <v>55</v>
      </c>
      <c r="B66" s="43" t="s">
        <v>111</v>
      </c>
      <c r="C66" s="33" t="s">
        <v>120</v>
      </c>
      <c r="D66" s="30" t="s">
        <v>110</v>
      </c>
      <c r="E66" s="30"/>
      <c r="F66" s="34">
        <v>4.5999999999999996</v>
      </c>
      <c r="G66" s="19">
        <f t="shared" si="0"/>
        <v>0</v>
      </c>
    </row>
    <row r="67" spans="1:7">
      <c r="A67" s="18">
        <v>56</v>
      </c>
      <c r="B67" s="43" t="s">
        <v>111</v>
      </c>
      <c r="C67" s="33" t="s">
        <v>121</v>
      </c>
      <c r="D67" s="30" t="s">
        <v>110</v>
      </c>
      <c r="E67" s="30"/>
      <c r="F67" s="34">
        <v>4.5999999999999996</v>
      </c>
      <c r="G67" s="19">
        <f t="shared" si="0"/>
        <v>0</v>
      </c>
    </row>
    <row r="68" spans="1:7">
      <c r="A68" s="18">
        <v>57</v>
      </c>
      <c r="B68" s="43" t="s">
        <v>111</v>
      </c>
      <c r="C68" s="33" t="s">
        <v>124</v>
      </c>
      <c r="D68" s="36" t="s">
        <v>110</v>
      </c>
      <c r="E68" s="30"/>
      <c r="F68" s="34">
        <v>6.2</v>
      </c>
      <c r="G68" s="19">
        <f t="shared" si="0"/>
        <v>0</v>
      </c>
    </row>
    <row r="69" spans="1:7">
      <c r="A69" s="18">
        <v>58</v>
      </c>
      <c r="B69" s="43" t="s">
        <v>111</v>
      </c>
      <c r="C69" s="33" t="s">
        <v>99</v>
      </c>
      <c r="D69" s="36" t="s">
        <v>110</v>
      </c>
      <c r="E69" s="30"/>
      <c r="F69" s="34">
        <v>3.8</v>
      </c>
      <c r="G69" s="19">
        <f t="shared" si="0"/>
        <v>0</v>
      </c>
    </row>
    <row r="70" spans="1:7">
      <c r="A70" s="18">
        <v>59</v>
      </c>
      <c r="B70" s="43" t="s">
        <v>111</v>
      </c>
      <c r="C70" s="32" t="s">
        <v>133</v>
      </c>
      <c r="D70" s="30" t="s">
        <v>110</v>
      </c>
      <c r="E70" s="30"/>
      <c r="F70" s="19">
        <v>2.4</v>
      </c>
      <c r="G70" s="19">
        <f t="shared" si="0"/>
        <v>0</v>
      </c>
    </row>
    <row r="71" spans="1:7">
      <c r="A71" s="18">
        <v>60</v>
      </c>
      <c r="B71" s="43" t="s">
        <v>111</v>
      </c>
      <c r="C71" s="32" t="s">
        <v>62</v>
      </c>
      <c r="D71" s="30" t="s">
        <v>22</v>
      </c>
      <c r="E71" s="30"/>
      <c r="F71" s="19">
        <v>5.35</v>
      </c>
      <c r="G71" s="19">
        <f t="shared" si="0"/>
        <v>0</v>
      </c>
    </row>
    <row r="72" spans="1:7">
      <c r="A72" s="18">
        <v>61</v>
      </c>
      <c r="B72" s="43" t="s">
        <v>130</v>
      </c>
      <c r="C72" s="33" t="s">
        <v>50</v>
      </c>
      <c r="D72" s="30" t="s">
        <v>110</v>
      </c>
      <c r="E72" s="30"/>
      <c r="F72" s="34">
        <v>1.8</v>
      </c>
      <c r="G72" s="19">
        <f t="shared" si="0"/>
        <v>0</v>
      </c>
    </row>
    <row r="73" spans="1:7">
      <c r="A73" s="18">
        <v>62</v>
      </c>
      <c r="B73" s="43" t="s">
        <v>44</v>
      </c>
      <c r="C73" s="33" t="s">
        <v>122</v>
      </c>
      <c r="D73" s="30" t="s">
        <v>110</v>
      </c>
      <c r="E73" s="30"/>
      <c r="F73" s="34">
        <v>5.8</v>
      </c>
      <c r="G73" s="19">
        <f t="shared" si="0"/>
        <v>0</v>
      </c>
    </row>
    <row r="74" spans="1:7">
      <c r="A74" s="18">
        <v>63</v>
      </c>
      <c r="B74" s="43" t="s">
        <v>44</v>
      </c>
      <c r="C74" s="33" t="s">
        <v>51</v>
      </c>
      <c r="D74" s="30" t="s">
        <v>110</v>
      </c>
      <c r="E74" s="30"/>
      <c r="F74" s="34">
        <v>4.4000000000000004</v>
      </c>
      <c r="G74" s="19">
        <f t="shared" si="0"/>
        <v>0</v>
      </c>
    </row>
    <row r="75" spans="1:7">
      <c r="A75" s="18">
        <v>64</v>
      </c>
      <c r="B75" s="43" t="s">
        <v>129</v>
      </c>
      <c r="C75" s="33" t="s">
        <v>52</v>
      </c>
      <c r="D75" s="30" t="s">
        <v>110</v>
      </c>
      <c r="E75" s="30"/>
      <c r="F75" s="34">
        <v>5.7</v>
      </c>
      <c r="G75" s="19">
        <f t="shared" si="0"/>
        <v>0</v>
      </c>
    </row>
    <row r="76" spans="1:7">
      <c r="A76" s="18">
        <v>65</v>
      </c>
      <c r="B76" s="43" t="s">
        <v>129</v>
      </c>
      <c r="C76" s="33" t="s">
        <v>53</v>
      </c>
      <c r="D76" s="30" t="s">
        <v>110</v>
      </c>
      <c r="E76" s="30"/>
      <c r="F76" s="34">
        <v>5.8</v>
      </c>
      <c r="G76" s="19">
        <f>E76*F76</f>
        <v>0</v>
      </c>
    </row>
    <row r="77" spans="1:7">
      <c r="A77" s="18">
        <v>66</v>
      </c>
      <c r="B77" s="43" t="s">
        <v>45</v>
      </c>
      <c r="C77" s="33" t="s">
        <v>94</v>
      </c>
      <c r="D77" s="30" t="s">
        <v>110</v>
      </c>
      <c r="E77" s="30"/>
      <c r="F77" s="34">
        <v>4.2</v>
      </c>
      <c r="G77" s="19">
        <f t="shared" si="0"/>
        <v>0</v>
      </c>
    </row>
    <row r="78" spans="1:7">
      <c r="A78" s="18">
        <v>67</v>
      </c>
      <c r="B78" s="43" t="s">
        <v>45</v>
      </c>
      <c r="C78" s="33" t="s">
        <v>123</v>
      </c>
      <c r="D78" s="30" t="s">
        <v>110</v>
      </c>
      <c r="E78" s="30"/>
      <c r="F78" s="34">
        <v>6.8</v>
      </c>
      <c r="G78" s="19">
        <f t="shared" si="0"/>
        <v>0</v>
      </c>
    </row>
    <row r="79" spans="1:7">
      <c r="A79" s="18">
        <v>68</v>
      </c>
      <c r="B79" s="43" t="s">
        <v>45</v>
      </c>
      <c r="C79" s="33" t="s">
        <v>59</v>
      </c>
      <c r="D79" s="30" t="s">
        <v>110</v>
      </c>
      <c r="E79" s="30"/>
      <c r="F79" s="19">
        <v>5.8</v>
      </c>
      <c r="G79" s="19">
        <f t="shared" si="0"/>
        <v>0</v>
      </c>
    </row>
    <row r="80" spans="1:7">
      <c r="A80" s="18">
        <v>69</v>
      </c>
      <c r="B80" s="43" t="s">
        <v>45</v>
      </c>
      <c r="C80" s="33" t="s">
        <v>56</v>
      </c>
      <c r="D80" s="30" t="s">
        <v>110</v>
      </c>
      <c r="E80" s="30"/>
      <c r="F80" s="19">
        <v>5.2</v>
      </c>
      <c r="G80" s="19">
        <f t="shared" si="0"/>
        <v>0</v>
      </c>
    </row>
    <row r="81" spans="1:7">
      <c r="A81" s="18">
        <v>70</v>
      </c>
      <c r="B81" s="43" t="s">
        <v>45</v>
      </c>
      <c r="C81" s="18" t="s">
        <v>60</v>
      </c>
      <c r="D81" s="30" t="s">
        <v>110</v>
      </c>
      <c r="E81" s="30"/>
      <c r="F81" s="34">
        <v>35</v>
      </c>
      <c r="G81" s="19">
        <f t="shared" si="0"/>
        <v>0</v>
      </c>
    </row>
    <row r="82" spans="1:7">
      <c r="A82" s="18">
        <v>71</v>
      </c>
      <c r="B82" s="43" t="s">
        <v>45</v>
      </c>
      <c r="C82" s="18" t="s">
        <v>95</v>
      </c>
      <c r="D82" s="30" t="s">
        <v>110</v>
      </c>
      <c r="E82" s="30"/>
      <c r="F82" s="34">
        <v>2.2999999999999998</v>
      </c>
      <c r="G82" s="19">
        <f t="shared" si="0"/>
        <v>0</v>
      </c>
    </row>
    <row r="83" spans="1:7">
      <c r="A83" s="18">
        <v>72</v>
      </c>
      <c r="B83" s="43" t="s">
        <v>45</v>
      </c>
      <c r="C83" s="18" t="s">
        <v>96</v>
      </c>
      <c r="D83" s="30" t="s">
        <v>110</v>
      </c>
      <c r="E83" s="30"/>
      <c r="F83" s="34">
        <v>65</v>
      </c>
      <c r="G83" s="19">
        <f t="shared" si="0"/>
        <v>0</v>
      </c>
    </row>
    <row r="84" spans="1:7">
      <c r="A84" s="18">
        <v>73</v>
      </c>
      <c r="B84" s="43" t="s">
        <v>46</v>
      </c>
      <c r="C84" s="21" t="s">
        <v>97</v>
      </c>
      <c r="D84" s="30" t="s">
        <v>61</v>
      </c>
      <c r="E84" s="30"/>
      <c r="F84" s="19">
        <v>45</v>
      </c>
      <c r="G84" s="19">
        <f t="shared" si="0"/>
        <v>0</v>
      </c>
    </row>
    <row r="85" spans="1:7">
      <c r="A85" s="18">
        <v>74</v>
      </c>
      <c r="B85" s="43" t="s">
        <v>46</v>
      </c>
      <c r="C85" s="18" t="s">
        <v>125</v>
      </c>
      <c r="D85" s="37" t="s">
        <v>61</v>
      </c>
      <c r="E85" s="30"/>
      <c r="F85" s="34">
        <v>22</v>
      </c>
      <c r="G85" s="19">
        <f t="shared" si="0"/>
        <v>0</v>
      </c>
    </row>
    <row r="86" spans="1:7">
      <c r="A86" s="18">
        <v>75</v>
      </c>
      <c r="B86" s="43" t="s">
        <v>46</v>
      </c>
      <c r="C86" s="18" t="s">
        <v>126</v>
      </c>
      <c r="D86" s="30" t="s">
        <v>61</v>
      </c>
      <c r="E86" s="30"/>
      <c r="F86" s="19">
        <v>19</v>
      </c>
      <c r="G86" s="19">
        <f t="shared" si="0"/>
        <v>0</v>
      </c>
    </row>
    <row r="87" spans="1:7">
      <c r="A87" s="18">
        <v>76</v>
      </c>
      <c r="B87" s="43" t="s">
        <v>46</v>
      </c>
      <c r="C87" s="18" t="s">
        <v>127</v>
      </c>
      <c r="D87" s="30" t="s">
        <v>61</v>
      </c>
      <c r="E87" s="30"/>
      <c r="F87" s="19">
        <v>15</v>
      </c>
      <c r="G87" s="19">
        <f t="shared" si="0"/>
        <v>0</v>
      </c>
    </row>
    <row r="88" spans="1:7">
      <c r="A88" s="18">
        <v>77</v>
      </c>
      <c r="B88" s="43" t="s">
        <v>47</v>
      </c>
      <c r="C88" s="33" t="s">
        <v>54</v>
      </c>
      <c r="D88" s="30" t="s">
        <v>112</v>
      </c>
      <c r="E88" s="30"/>
      <c r="F88" s="19">
        <v>3.5</v>
      </c>
      <c r="G88" s="19">
        <f t="shared" si="0"/>
        <v>0</v>
      </c>
    </row>
    <row r="89" spans="1:7">
      <c r="A89" s="18">
        <v>78</v>
      </c>
      <c r="B89" s="58" t="s">
        <v>131</v>
      </c>
      <c r="C89" s="17" t="s">
        <v>100</v>
      </c>
      <c r="D89" s="30" t="s">
        <v>128</v>
      </c>
      <c r="E89" s="30"/>
      <c r="F89" s="19">
        <v>10.5</v>
      </c>
      <c r="G89" s="19">
        <f t="shared" ref="G89" si="2">E89*F89</f>
        <v>0</v>
      </c>
    </row>
    <row r="90" spans="1:7">
      <c r="A90" s="18"/>
      <c r="B90" s="58"/>
      <c r="C90" s="59" t="s">
        <v>4</v>
      </c>
      <c r="D90" s="30"/>
      <c r="E90" s="30"/>
      <c r="F90" s="19"/>
      <c r="G90" s="60">
        <f>SUM(G12:G89)</f>
        <v>0</v>
      </c>
    </row>
    <row r="92" spans="1:7">
      <c r="B92" s="56" t="s">
        <v>27</v>
      </c>
    </row>
  </sheetData>
  <mergeCells count="3">
    <mergeCell ref="A1:G1"/>
    <mergeCell ref="F2:G2"/>
    <mergeCell ref="A9:G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topLeftCell="A15" workbookViewId="0">
      <selection activeCell="A2" sqref="A2:E3"/>
    </sheetView>
  </sheetViews>
  <sheetFormatPr defaultColWidth="11.42578125" defaultRowHeight="15"/>
  <cols>
    <col min="1" max="1" width="5.7109375" customWidth="1"/>
    <col min="2" max="2" width="47.7109375" customWidth="1"/>
    <col min="3" max="3" width="5.7109375" customWidth="1"/>
    <col min="4" max="4" width="12.42578125" customWidth="1"/>
    <col min="5" max="5" width="17.42578125" customWidth="1"/>
    <col min="6" max="6" width="8.28515625" customWidth="1"/>
  </cols>
  <sheetData>
    <row r="1" spans="1:5" ht="15" customHeight="1" thickBot="1">
      <c r="A1" s="126" t="s">
        <v>3</v>
      </c>
      <c r="B1" s="126"/>
      <c r="C1" s="126"/>
      <c r="D1" s="126"/>
      <c r="E1" s="126"/>
    </row>
    <row r="2" spans="1:5">
      <c r="A2" s="120" t="s">
        <v>142</v>
      </c>
      <c r="B2" s="121"/>
      <c r="C2" s="121"/>
      <c r="D2" s="121"/>
      <c r="E2" s="122"/>
    </row>
    <row r="3" spans="1:5" ht="112.9" customHeight="1" thickBot="1">
      <c r="A3" s="123"/>
      <c r="B3" s="124"/>
      <c r="C3" s="124"/>
      <c r="D3" s="124"/>
      <c r="E3" s="125"/>
    </row>
    <row r="4" spans="1:5" ht="15" customHeight="1">
      <c r="A4" s="111" t="s">
        <v>137</v>
      </c>
      <c r="B4" s="112"/>
      <c r="C4" s="112"/>
      <c r="D4" s="112"/>
      <c r="E4" s="113"/>
    </row>
    <row r="5" spans="1:5">
      <c r="A5" s="114"/>
      <c r="B5" s="115"/>
      <c r="C5" s="115"/>
      <c r="D5" s="115"/>
      <c r="E5" s="116"/>
    </row>
    <row r="6" spans="1:5" ht="15.75" thickBot="1">
      <c r="A6" s="117"/>
      <c r="B6" s="118"/>
      <c r="C6" s="118"/>
      <c r="D6" s="118"/>
      <c r="E6" s="119"/>
    </row>
    <row r="7" spans="1:5" ht="15.75">
      <c r="A7" s="108"/>
      <c r="B7" s="109"/>
      <c r="C7" s="109"/>
      <c r="D7" s="109"/>
      <c r="E7" s="110"/>
    </row>
    <row r="8" spans="1:5">
      <c r="A8" s="1"/>
      <c r="B8" s="2"/>
      <c r="C8" s="2"/>
      <c r="D8" s="3"/>
      <c r="E8" s="4"/>
    </row>
    <row r="9" spans="1:5">
      <c r="A9" s="5" t="s">
        <v>5</v>
      </c>
      <c r="B9" s="6" t="s">
        <v>6</v>
      </c>
      <c r="C9" s="7" t="s">
        <v>0</v>
      </c>
      <c r="D9" s="6" t="s">
        <v>1</v>
      </c>
      <c r="E9" s="6" t="s">
        <v>7</v>
      </c>
    </row>
    <row r="10" spans="1:5" ht="15.75">
      <c r="A10" s="24">
        <v>1</v>
      </c>
      <c r="B10" s="25" t="s">
        <v>8</v>
      </c>
      <c r="C10" s="26">
        <v>1</v>
      </c>
      <c r="D10" s="23">
        <v>6.8</v>
      </c>
      <c r="E10" s="27">
        <f t="shared" ref="E10:E21" si="0">C10*D10</f>
        <v>6.8</v>
      </c>
    </row>
    <row r="11" spans="1:5" ht="15.75">
      <c r="A11" s="24">
        <v>2</v>
      </c>
      <c r="B11" s="25" t="s">
        <v>9</v>
      </c>
      <c r="C11" s="26">
        <v>1</v>
      </c>
      <c r="D11" s="23">
        <v>5</v>
      </c>
      <c r="E11" s="27">
        <f t="shared" si="0"/>
        <v>5</v>
      </c>
    </row>
    <row r="12" spans="1:5" ht="15.75">
      <c r="A12" s="24">
        <v>3</v>
      </c>
      <c r="B12" s="28" t="s">
        <v>10</v>
      </c>
      <c r="C12" s="26">
        <v>1</v>
      </c>
      <c r="D12" s="23">
        <v>0.65</v>
      </c>
      <c r="E12" s="27">
        <f t="shared" si="0"/>
        <v>0.65</v>
      </c>
    </row>
    <row r="13" spans="1:5" ht="15.75">
      <c r="A13" s="24">
        <v>5</v>
      </c>
      <c r="B13" s="25" t="s">
        <v>11</v>
      </c>
      <c r="C13" s="26">
        <v>1</v>
      </c>
      <c r="D13" s="23">
        <v>48</v>
      </c>
      <c r="E13" s="27">
        <f t="shared" si="0"/>
        <v>48</v>
      </c>
    </row>
    <row r="14" spans="1:5" ht="15.75">
      <c r="A14" s="24">
        <v>6</v>
      </c>
      <c r="B14" s="25" t="s">
        <v>55</v>
      </c>
      <c r="C14" s="26">
        <v>1</v>
      </c>
      <c r="D14" s="23">
        <v>45</v>
      </c>
      <c r="E14" s="27">
        <f t="shared" si="0"/>
        <v>45</v>
      </c>
    </row>
    <row r="15" spans="1:5" ht="15.75">
      <c r="A15" s="24">
        <v>7</v>
      </c>
      <c r="B15" s="25" t="s">
        <v>12</v>
      </c>
      <c r="C15" s="26">
        <v>1</v>
      </c>
      <c r="D15" s="23">
        <v>1</v>
      </c>
      <c r="E15" s="27">
        <f t="shared" si="0"/>
        <v>1</v>
      </c>
    </row>
    <row r="16" spans="1:5" ht="15.75">
      <c r="A16" s="24">
        <v>8</v>
      </c>
      <c r="B16" s="29" t="s">
        <v>102</v>
      </c>
      <c r="C16" s="26">
        <v>1</v>
      </c>
      <c r="D16" s="23">
        <v>3.2</v>
      </c>
      <c r="E16" s="27">
        <f t="shared" si="0"/>
        <v>3.2</v>
      </c>
    </row>
    <row r="17" spans="1:5" ht="15.75">
      <c r="A17" s="24">
        <v>9</v>
      </c>
      <c r="B17" s="22" t="s">
        <v>57</v>
      </c>
      <c r="C17" s="26">
        <v>1</v>
      </c>
      <c r="D17" s="23">
        <v>3</v>
      </c>
      <c r="E17" s="27">
        <f t="shared" si="0"/>
        <v>3</v>
      </c>
    </row>
    <row r="18" spans="1:5" ht="15.75">
      <c r="A18" s="24">
        <v>10</v>
      </c>
      <c r="B18" s="22" t="s">
        <v>17</v>
      </c>
      <c r="C18" s="26">
        <v>1</v>
      </c>
      <c r="D18" s="23">
        <v>2.8</v>
      </c>
      <c r="E18" s="27">
        <f t="shared" si="0"/>
        <v>2.8</v>
      </c>
    </row>
    <row r="19" spans="1:5" ht="15.75">
      <c r="A19" s="24">
        <v>11</v>
      </c>
      <c r="B19" s="22" t="s">
        <v>135</v>
      </c>
      <c r="C19" s="26">
        <v>1</v>
      </c>
      <c r="D19" s="23">
        <v>10.8</v>
      </c>
      <c r="E19" s="27">
        <f t="shared" si="0"/>
        <v>10.8</v>
      </c>
    </row>
    <row r="20" spans="1:5" ht="15.75">
      <c r="A20" s="24">
        <v>12</v>
      </c>
      <c r="B20" s="22" t="s">
        <v>25</v>
      </c>
      <c r="C20" s="26">
        <v>1</v>
      </c>
      <c r="D20" s="23">
        <v>45</v>
      </c>
      <c r="E20" s="27">
        <f t="shared" si="0"/>
        <v>45</v>
      </c>
    </row>
    <row r="21" spans="1:5" ht="15.75">
      <c r="A21" s="24">
        <v>13</v>
      </c>
      <c r="B21" s="22" t="s">
        <v>28</v>
      </c>
      <c r="C21" s="26">
        <v>1</v>
      </c>
      <c r="D21" s="23">
        <v>42</v>
      </c>
      <c r="E21" s="27">
        <f t="shared" si="0"/>
        <v>42</v>
      </c>
    </row>
    <row r="22" spans="1:5">
      <c r="A22" s="127"/>
      <c r="B22" s="127"/>
      <c r="C22" s="8"/>
      <c r="D22" s="9" t="s">
        <v>13</v>
      </c>
      <c r="E22" s="20"/>
    </row>
    <row r="23" spans="1:5">
      <c r="A23" s="128"/>
      <c r="B23" s="128"/>
      <c r="C23" s="10"/>
      <c r="D23" s="9" t="s">
        <v>14</v>
      </c>
      <c r="E23" s="11">
        <v>0</v>
      </c>
    </row>
    <row r="24" spans="1:5">
      <c r="A24" s="127" t="s">
        <v>15</v>
      </c>
      <c r="B24" s="127"/>
      <c r="C24" s="8"/>
      <c r="D24" s="9" t="s">
        <v>16</v>
      </c>
      <c r="E24" s="12">
        <f>E23*E22+E22</f>
        <v>0</v>
      </c>
    </row>
  </sheetData>
  <mergeCells count="7">
    <mergeCell ref="A7:E7"/>
    <mergeCell ref="A4:E6"/>
    <mergeCell ref="A2:E3"/>
    <mergeCell ref="A1:E1"/>
    <mergeCell ref="A24:B24"/>
    <mergeCell ref="A22:B22"/>
    <mergeCell ref="A23:B23"/>
  </mergeCells>
  <conditionalFormatting sqref="C10:D16 A10:A21 E10:E21 B17:D21">
    <cfRule type="expression" dxfId="0" priority="1" stopIfTrue="1">
      <formula>MOD(ROW(),2)=0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PROVISION - BOND STORE</vt:lpstr>
      <vt:lpstr>BOND STORE</vt:lpstr>
      <vt:lpstr> Store</vt:lpstr>
      <vt:lpstr>'PROVISION - BOND STORE'!Область_печати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 Villafuerte Alicia</dc:creator>
  <cp:lastModifiedBy>IDimm</cp:lastModifiedBy>
  <cp:lastPrinted>2025-11-14T20:14:24Z</cp:lastPrinted>
  <dcterms:created xsi:type="dcterms:W3CDTF">2018-11-21T03:13:52Z</dcterms:created>
  <dcterms:modified xsi:type="dcterms:W3CDTF">2013-05-15T17:49:46Z</dcterms:modified>
</cp:coreProperties>
</file>